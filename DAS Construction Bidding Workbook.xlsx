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Yamen Zeid Al Kilani\Desktop\"/>
    </mc:Choice>
  </mc:AlternateContent>
  <xr:revisionPtr revIDLastSave="0" documentId="13_ncr:1_{107FCC0D-1045-4882-83B2-C3C40EBA92B1}" xr6:coauthVersionLast="47" xr6:coauthVersionMax="47" xr10:uidLastSave="{00000000-0000-0000-0000-000000000000}"/>
  <bookViews>
    <workbookView xWindow="-108" yWindow="-108" windowWidth="23256" windowHeight="13896" tabRatio="863" activeTab="3" xr2:uid="{00000000-000D-0000-FFFF-FFFF00000000}"/>
  </bookViews>
  <sheets>
    <sheet name="Cover Sheet" sheetId="31" r:id="rId1"/>
    <sheet name="Executive Summary" sheetId="30" r:id="rId2"/>
    <sheet name="Bill of Materials" sheetId="12" r:id="rId3"/>
    <sheet name="LOE Sheet" sheetId="23" r:id="rId4"/>
    <sheet name="Additional SOW's" sheetId="29" r:id="rId5"/>
    <sheet name="Pass Throughs" sheetId="20" r:id="rId6"/>
    <sheet name="Labor Projections" sheetId="28" r:id="rId7"/>
    <sheet name="Drop Down Data" sheetId="39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4" hidden="1">'Additional SOW''s'!$A$2:$J$31</definedName>
    <definedName name="_xlnm._FilterDatabase" localSheetId="2" hidden="1">'Bill of Materials'!$A$2:$J$92</definedName>
    <definedName name="_xlnm._FilterDatabase" localSheetId="6" hidden="1">'Labor Projections'!$I$2:$O$20</definedName>
    <definedName name="_xlnm._FilterDatabase" localSheetId="3" hidden="1">'LOE Sheet'!$A$3:$J$113</definedName>
    <definedName name="CIQWBGuid" hidden="1">"b0e2be90-9606-4b70-a632-3481f2e2007a"</definedName>
    <definedName name="EXECUTIONSTRATEGY" localSheetId="1">#REF!</definedName>
    <definedName name="EXECUTIONSTRATEGY" localSheetId="6">#REF!</definedName>
    <definedName name="EXECUTIONSTRATEGY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41451.6627777778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abor">'Drop Down Data'!$A$12</definedName>
    <definedName name="Month" localSheetId="1">#REF!</definedName>
    <definedName name="Month" localSheetId="6">#REF!</definedName>
    <definedName name="Month">#REF!</definedName>
    <definedName name="NumWorkItems">[1]BGCalcs!$J$14</definedName>
    <definedName name="OverflowWeight">[2]BGCalcs!$K$24</definedName>
    <definedName name="percentabovemedian">[2]BGCalcs!$K$26</definedName>
    <definedName name="PrimeWeight">[2]BGCalcs!$K$23</definedName>
    <definedName name="ProbationalSwitch">[2]BGCalcs!$K$22</definedName>
    <definedName name="Regions" localSheetId="1">#REF!</definedName>
    <definedName name="Regions" localSheetId="6">#REF!</definedName>
    <definedName name="Regions">#REF!</definedName>
    <definedName name="Resource" localSheetId="6">[3]Resources!$C$6:$C$13</definedName>
    <definedName name="Scenarios">[2]BGCalcs!$B$3:$B$7</definedName>
    <definedName name="Scenarios2">[2]BGCalcs!$B$10:$B$14</definedName>
    <definedName name="Supp1Weight">[2]BGCalcs!$H$22</definedName>
    <definedName name="Supp2Weight">[2]BGCalcs!$H$24</definedName>
    <definedName name="Suppliers">[1]BGCalcs!$C$14:$C$109</definedName>
    <definedName name="SuppliersOrig">[4]PasteHere!$E$4:$BJ$4</definedName>
    <definedName name="Territories">[2]Num1Supplier!$B$5:$B$34</definedName>
    <definedName name="TerritoriesHoriz">[2]BGCalcs!$C$2:$AF$2</definedName>
    <definedName name="TerritoriesHoriz2nd">[2]BGCalcs!$C$9:$AF$9</definedName>
    <definedName name="TotalSpend">[2]BGCalcs!$H$18</definedName>
    <definedName name="VendByRegAndScen">[2]BGCalcs!$C$3:$AF$7</definedName>
    <definedName name="VendByRegAndScen2nd">[2]BGCalcs!$C$10:$AF$14</definedName>
    <definedName name="Verticals" localSheetId="1">#REF!</definedName>
    <definedName name="Verticals" localSheetId="6">#REF!</definedName>
    <definedName name="Verticals">#REF!</definedName>
    <definedName name="WorkAuth">[2]BGCalcs!$H$20</definedName>
    <definedName name="WorkItems">[1]BGCalcs!$I$14:$I$314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7" i="23" l="1"/>
  <c r="I47" i="23"/>
  <c r="J47" i="23"/>
  <c r="F43" i="23"/>
  <c r="I43" i="23"/>
  <c r="F44" i="23"/>
  <c r="I44" i="23"/>
  <c r="F82" i="23"/>
  <c r="I82" i="23"/>
  <c r="F65" i="23"/>
  <c r="I65" i="23"/>
  <c r="F83" i="23"/>
  <c r="I83" i="23"/>
  <c r="F72" i="23"/>
  <c r="I72" i="23"/>
  <c r="F76" i="23"/>
  <c r="I76" i="23"/>
  <c r="F73" i="23"/>
  <c r="I73" i="23"/>
  <c r="F77" i="23"/>
  <c r="I77" i="23"/>
  <c r="F63" i="23"/>
  <c r="I63" i="23"/>
  <c r="F57" i="23"/>
  <c r="I57" i="23"/>
  <c r="F58" i="23"/>
  <c r="I58" i="23"/>
  <c r="F52" i="23"/>
  <c r="I52" i="23"/>
  <c r="F53" i="23"/>
  <c r="I53" i="23"/>
  <c r="F54" i="23"/>
  <c r="I54" i="23"/>
  <c r="F55" i="23"/>
  <c r="I55" i="23"/>
  <c r="F56" i="23"/>
  <c r="I56" i="23"/>
  <c r="F78" i="23"/>
  <c r="I78" i="23"/>
  <c r="F79" i="23"/>
  <c r="I79" i="23"/>
  <c r="F27" i="23"/>
  <c r="I27" i="23"/>
  <c r="E69" i="20"/>
  <c r="E70" i="20"/>
  <c r="I85" i="12"/>
  <c r="E55" i="20"/>
  <c r="E51" i="20"/>
  <c r="I82" i="12"/>
  <c r="I81" i="12"/>
  <c r="I80" i="12"/>
  <c r="I70" i="12"/>
  <c r="E52" i="20"/>
  <c r="E53" i="20"/>
  <c r="I84" i="12"/>
  <c r="I86" i="12"/>
  <c r="E54" i="20"/>
  <c r="E56" i="20"/>
  <c r="I64" i="12"/>
  <c r="J44" i="23" l="1"/>
  <c r="G47" i="23"/>
  <c r="J43" i="23"/>
  <c r="J82" i="23"/>
  <c r="G43" i="23"/>
  <c r="G44" i="23"/>
  <c r="G82" i="23"/>
  <c r="J65" i="23"/>
  <c r="J83" i="23"/>
  <c r="G65" i="23"/>
  <c r="G83" i="23"/>
  <c r="J76" i="23"/>
  <c r="G72" i="23"/>
  <c r="J72" i="23"/>
  <c r="G76" i="23"/>
  <c r="J73" i="23"/>
  <c r="G73" i="23"/>
  <c r="J77" i="23"/>
  <c r="G77" i="23"/>
  <c r="J63" i="23"/>
  <c r="J58" i="23"/>
  <c r="G63" i="23"/>
  <c r="J57" i="23"/>
  <c r="G58" i="23"/>
  <c r="G57" i="23"/>
  <c r="J56" i="23"/>
  <c r="J54" i="23"/>
  <c r="J52" i="23"/>
  <c r="J53" i="23"/>
  <c r="G52" i="23"/>
  <c r="G53" i="23"/>
  <c r="G54" i="23"/>
  <c r="G55" i="23"/>
  <c r="J55" i="23"/>
  <c r="G56" i="23"/>
  <c r="J79" i="23"/>
  <c r="J78" i="23"/>
  <c r="G78" i="23"/>
  <c r="G79" i="23"/>
  <c r="J27" i="23"/>
  <c r="G27" i="23"/>
  <c r="I18" i="12"/>
  <c r="J18" i="12" s="1"/>
  <c r="I13" i="12"/>
  <c r="J13" i="12" s="1"/>
  <c r="I36" i="12" l="1"/>
  <c r="J36" i="12" s="1"/>
  <c r="I10" i="12"/>
  <c r="I32" i="12"/>
  <c r="I7" i="12"/>
  <c r="I8" i="12"/>
  <c r="I9" i="12"/>
  <c r="I6" i="12"/>
  <c r="A49" i="23"/>
  <c r="A46" i="23"/>
  <c r="I4" i="12" l="1"/>
  <c r="I91" i="12"/>
  <c r="I33" i="12"/>
  <c r="I28" i="12"/>
  <c r="I61" i="12"/>
  <c r="I60" i="12"/>
  <c r="I59" i="12"/>
  <c r="I58" i="12"/>
  <c r="I57" i="12"/>
  <c r="I56" i="12"/>
  <c r="I55" i="12"/>
  <c r="I54" i="12"/>
  <c r="I53" i="12"/>
  <c r="I63" i="12"/>
  <c r="I62" i="12"/>
  <c r="I22" i="12"/>
  <c r="I26" i="12"/>
  <c r="I25" i="12"/>
  <c r="I24" i="12"/>
  <c r="I23" i="12"/>
  <c r="I29" i="12"/>
  <c r="I27" i="12"/>
  <c r="I30" i="12"/>
  <c r="I35" i="12"/>
  <c r="I20" i="12"/>
  <c r="I15" i="12"/>
  <c r="I5" i="12" l="1"/>
  <c r="I17" i="12" l="1"/>
  <c r="I19" i="12"/>
  <c r="I14" i="12"/>
  <c r="I12" i="12"/>
  <c r="I83" i="12" l="1"/>
  <c r="I89" i="12"/>
  <c r="I3" i="12"/>
  <c r="E63" i="20"/>
  <c r="I51" i="12" l="1"/>
  <c r="I50" i="12"/>
  <c r="I49" i="12"/>
  <c r="I48" i="12"/>
  <c r="I47" i="12"/>
  <c r="I46" i="12"/>
  <c r="I45" i="12"/>
  <c r="I52" i="12"/>
  <c r="G110" i="12" l="1"/>
  <c r="I40" i="12" l="1"/>
  <c r="I43" i="12"/>
  <c r="I42" i="12"/>
  <c r="I41" i="12"/>
  <c r="I21" i="12"/>
  <c r="I11" i="12"/>
  <c r="I16" i="12"/>
  <c r="I77" i="12"/>
  <c r="I78" i="12"/>
  <c r="I79" i="12"/>
  <c r="I74" i="12"/>
  <c r="I73" i="12"/>
  <c r="I72" i="12"/>
  <c r="I44" i="12"/>
  <c r="I65" i="12"/>
  <c r="I66" i="12"/>
  <c r="I67" i="12"/>
  <c r="I68" i="12"/>
  <c r="I69" i="12"/>
  <c r="I71" i="12"/>
  <c r="I75" i="12"/>
  <c r="I76" i="12"/>
  <c r="I31" i="12"/>
  <c r="I34" i="12"/>
  <c r="I37" i="12"/>
  <c r="I38" i="12"/>
  <c r="G111" i="12" l="1"/>
  <c r="G112" i="12" s="1"/>
  <c r="I87" i="12"/>
  <c r="A71" i="23"/>
  <c r="A67" i="23"/>
  <c r="A33" i="23"/>
  <c r="A32" i="23"/>
  <c r="A28" i="23"/>
  <c r="A25" i="23"/>
  <c r="E107" i="23" l="1"/>
  <c r="G33" i="39" l="1"/>
  <c r="G34" i="39"/>
  <c r="G19" i="39"/>
  <c r="G20" i="39"/>
  <c r="G21" i="39"/>
  <c r="G22" i="39"/>
  <c r="G23" i="39"/>
  <c r="G24" i="39"/>
  <c r="G25" i="39"/>
  <c r="G26" i="39"/>
  <c r="G27" i="39"/>
  <c r="G28" i="39"/>
  <c r="G29" i="39"/>
  <c r="G30" i="39"/>
  <c r="G31" i="39"/>
  <c r="G32" i="39"/>
  <c r="G35" i="39"/>
  <c r="G36" i="39"/>
  <c r="G37" i="39"/>
  <c r="G38" i="39"/>
  <c r="G39" i="39"/>
  <c r="G40" i="39"/>
  <c r="G18" i="39"/>
  <c r="F30" i="20" l="1"/>
  <c r="F29" i="20"/>
  <c r="F28" i="20"/>
  <c r="F27" i="20"/>
  <c r="F26" i="20"/>
  <c r="F25" i="20"/>
  <c r="F20" i="20"/>
  <c r="F19" i="20"/>
  <c r="F18" i="20"/>
  <c r="F17" i="20"/>
  <c r="F7" i="20"/>
  <c r="F8" i="20"/>
  <c r="F9" i="20"/>
  <c r="F10" i="20"/>
  <c r="F31" i="20" l="1"/>
  <c r="E7" i="30" l="1"/>
  <c r="L7" i="30"/>
  <c r="E20" i="20" l="1"/>
  <c r="E19" i="20"/>
  <c r="E18" i="20"/>
  <c r="E17" i="20"/>
  <c r="E7" i="20"/>
  <c r="E8" i="20"/>
  <c r="E9" i="20"/>
  <c r="E10" i="20"/>
  <c r="I31" i="23" l="1"/>
  <c r="I32" i="23" l="1"/>
  <c r="E15" i="30" l="1"/>
  <c r="L15" i="30" l="1"/>
  <c r="I31" i="29" l="1"/>
  <c r="J31" i="29" s="1"/>
  <c r="I30" i="29"/>
  <c r="J30" i="29" s="1"/>
  <c r="I29" i="29"/>
  <c r="J29" i="29" s="1"/>
  <c r="I28" i="29"/>
  <c r="J28" i="29" s="1"/>
  <c r="I27" i="29"/>
  <c r="I26" i="29"/>
  <c r="I25" i="29"/>
  <c r="I22" i="29"/>
  <c r="J22" i="29" s="1"/>
  <c r="I21" i="29"/>
  <c r="J21" i="29" s="1"/>
  <c r="I20" i="29"/>
  <c r="J20" i="29" s="1"/>
  <c r="I19" i="29"/>
  <c r="J19" i="29" s="1"/>
  <c r="I18" i="29"/>
  <c r="I16" i="29"/>
  <c r="J16" i="29" s="1"/>
  <c r="I15" i="29"/>
  <c r="J15" i="29" s="1"/>
  <c r="I14" i="29"/>
  <c r="I13" i="29"/>
  <c r="J13" i="29" s="1"/>
  <c r="I12" i="29"/>
  <c r="J12" i="29" s="1"/>
  <c r="I10" i="29"/>
  <c r="J10" i="29" s="1"/>
  <c r="I9" i="29"/>
  <c r="J9" i="29" s="1"/>
  <c r="I8" i="29"/>
  <c r="I7" i="29"/>
  <c r="I6" i="29"/>
  <c r="I5" i="29"/>
  <c r="E108" i="23"/>
  <c r="E109" i="23"/>
  <c r="E110" i="23"/>
  <c r="E111" i="23"/>
  <c r="E112" i="23"/>
  <c r="E33" i="29"/>
  <c r="E34" i="29"/>
  <c r="E35" i="29"/>
  <c r="E36" i="29"/>
  <c r="E37" i="29"/>
  <c r="E32" i="29"/>
  <c r="I4" i="29"/>
  <c r="I11" i="29" l="1"/>
  <c r="I17" i="29"/>
  <c r="I3" i="29"/>
  <c r="J7" i="29" l="1"/>
  <c r="J8" i="29"/>
  <c r="J6" i="29"/>
  <c r="E71" i="20" l="1"/>
  <c r="E68" i="20"/>
  <c r="E67" i="20"/>
  <c r="E66" i="20"/>
  <c r="E65" i="20"/>
  <c r="E64" i="20"/>
  <c r="E62" i="20"/>
  <c r="E57" i="20"/>
  <c r="E50" i="20"/>
  <c r="E49" i="20"/>
  <c r="E48" i="20"/>
  <c r="E47" i="20"/>
  <c r="E46" i="20"/>
  <c r="E45" i="20"/>
  <c r="E40" i="20"/>
  <c r="E39" i="20"/>
  <c r="E38" i="20"/>
  <c r="E37" i="20"/>
  <c r="E36" i="20"/>
  <c r="E35" i="20"/>
  <c r="A40" i="20"/>
  <c r="A39" i="20"/>
  <c r="A38" i="20"/>
  <c r="A37" i="20"/>
  <c r="A36" i="20"/>
  <c r="A35" i="20"/>
  <c r="A30" i="20"/>
  <c r="B30" i="20" s="1"/>
  <c r="E30" i="20" s="1"/>
  <c r="A29" i="20"/>
  <c r="B29" i="20" s="1"/>
  <c r="E29" i="20" s="1"/>
  <c r="A28" i="20"/>
  <c r="B28" i="20" s="1"/>
  <c r="E28" i="20" s="1"/>
  <c r="A27" i="20"/>
  <c r="B27" i="20" s="1"/>
  <c r="E27" i="20" s="1"/>
  <c r="A26" i="20"/>
  <c r="B26" i="20" s="1"/>
  <c r="E26" i="20" s="1"/>
  <c r="A25" i="20"/>
  <c r="B25" i="20" s="1"/>
  <c r="E25" i="20" s="1"/>
  <c r="A20" i="20"/>
  <c r="A19" i="20"/>
  <c r="A18" i="20"/>
  <c r="A17" i="20"/>
  <c r="A16" i="20"/>
  <c r="A15" i="20"/>
  <c r="A10" i="20"/>
  <c r="A9" i="20"/>
  <c r="A8" i="20"/>
  <c r="A7" i="20"/>
  <c r="A6" i="20"/>
  <c r="A5" i="20"/>
  <c r="D8" i="28"/>
  <c r="D13" i="28"/>
  <c r="D4" i="28"/>
  <c r="D12" i="28"/>
  <c r="D6" i="28"/>
  <c r="D7" i="28"/>
  <c r="D3" i="28"/>
  <c r="I106" i="23"/>
  <c r="I105" i="23"/>
  <c r="I95" i="23"/>
  <c r="I94" i="23"/>
  <c r="I92" i="23"/>
  <c r="I91" i="23"/>
  <c r="I89" i="23"/>
  <c r="I88" i="23"/>
  <c r="I87" i="23"/>
  <c r="I86" i="23"/>
  <c r="I85" i="23"/>
  <c r="I81" i="23"/>
  <c r="I80" i="23"/>
  <c r="I75" i="23"/>
  <c r="J75" i="23" s="1"/>
  <c r="I74" i="23"/>
  <c r="I70" i="23"/>
  <c r="I69" i="23"/>
  <c r="I66" i="23"/>
  <c r="I64" i="23"/>
  <c r="I62" i="23"/>
  <c r="I61" i="23"/>
  <c r="I60" i="23"/>
  <c r="I59" i="23"/>
  <c r="I51" i="23"/>
  <c r="I48" i="23"/>
  <c r="I45" i="23"/>
  <c r="I42" i="23"/>
  <c r="I41" i="23"/>
  <c r="I103" i="23"/>
  <c r="I101" i="23"/>
  <c r="I100" i="23"/>
  <c r="I98" i="23"/>
  <c r="I97" i="23"/>
  <c r="I39" i="23"/>
  <c r="I38" i="23"/>
  <c r="I37" i="23"/>
  <c r="I36" i="23"/>
  <c r="I35" i="23"/>
  <c r="I29" i="23"/>
  <c r="I26" i="23"/>
  <c r="I24" i="23"/>
  <c r="I23" i="23"/>
  <c r="I22" i="23"/>
  <c r="I21" i="23"/>
  <c r="I20" i="23"/>
  <c r="I19" i="23"/>
  <c r="I18" i="23"/>
  <c r="I16" i="23"/>
  <c r="I15" i="23"/>
  <c r="I14" i="23"/>
  <c r="I13" i="23"/>
  <c r="I11" i="23"/>
  <c r="I10" i="23"/>
  <c r="I8" i="23"/>
  <c r="I6" i="23"/>
  <c r="I5" i="23"/>
  <c r="I39" i="12"/>
  <c r="E31" i="20" l="1"/>
  <c r="I88" i="12"/>
  <c r="C19" i="30"/>
  <c r="D19" i="30" s="1"/>
  <c r="F103" i="23"/>
  <c r="F5" i="23"/>
  <c r="F95" i="23"/>
  <c r="G95" i="23" s="1"/>
  <c r="F31" i="23"/>
  <c r="F32" i="23"/>
  <c r="J35" i="23"/>
  <c r="J38" i="23"/>
  <c r="J59" i="23"/>
  <c r="J74" i="23"/>
  <c r="J94" i="23"/>
  <c r="J19" i="23"/>
  <c r="J36" i="23"/>
  <c r="J39" i="23"/>
  <c r="J69" i="23"/>
  <c r="J37" i="23"/>
  <c r="J60" i="23"/>
  <c r="J16" i="23"/>
  <c r="J100" i="23"/>
  <c r="J80" i="23"/>
  <c r="J101" i="23"/>
  <c r="J81" i="23"/>
  <c r="J88" i="23"/>
  <c r="J41" i="23"/>
  <c r="J29" i="23"/>
  <c r="J13" i="23"/>
  <c r="J24" i="23"/>
  <c r="J42" i="23"/>
  <c r="J14" i="23"/>
  <c r="F98" i="23"/>
  <c r="G98" i="23" s="1"/>
  <c r="F105" i="23"/>
  <c r="G105" i="23" s="1"/>
  <c r="F97" i="23"/>
  <c r="G97" i="23" s="1"/>
  <c r="F106" i="23"/>
  <c r="F81" i="23"/>
  <c r="G81" i="23" s="1"/>
  <c r="F70" i="23"/>
  <c r="G70" i="23" s="1"/>
  <c r="F64" i="23"/>
  <c r="G64" i="23" s="1"/>
  <c r="F38" i="23"/>
  <c r="F35" i="23"/>
  <c r="G35" i="23" s="1"/>
  <c r="F26" i="23"/>
  <c r="F22" i="23"/>
  <c r="F14" i="29"/>
  <c r="F8" i="29"/>
  <c r="F4" i="29"/>
  <c r="F59" i="23"/>
  <c r="G59" i="23" s="1"/>
  <c r="F9" i="29"/>
  <c r="F71" i="23"/>
  <c r="F88" i="23"/>
  <c r="G88" i="23" s="1"/>
  <c r="F80" i="23"/>
  <c r="G80" i="23" s="1"/>
  <c r="F75" i="23"/>
  <c r="G75" i="23" s="1"/>
  <c r="F33" i="23"/>
  <c r="F21" i="23"/>
  <c r="F16" i="23"/>
  <c r="G16" i="23" s="1"/>
  <c r="F24" i="23"/>
  <c r="F21" i="29"/>
  <c r="F39" i="23"/>
  <c r="F11" i="23"/>
  <c r="G11" i="23" s="1"/>
  <c r="F62" i="23"/>
  <c r="G62" i="23" s="1"/>
  <c r="F49" i="23"/>
  <c r="F42" i="23"/>
  <c r="G42" i="23" s="1"/>
  <c r="F30" i="23"/>
  <c r="F20" i="23"/>
  <c r="F15" i="23"/>
  <c r="G15" i="23" s="1"/>
  <c r="F26" i="29"/>
  <c r="F13" i="29"/>
  <c r="F7" i="29"/>
  <c r="F90" i="23"/>
  <c r="F66" i="23"/>
  <c r="G66" i="23" s="1"/>
  <c r="F13" i="23"/>
  <c r="G13" i="23" s="1"/>
  <c r="F5" i="29"/>
  <c r="F51" i="23"/>
  <c r="G51" i="23" s="1"/>
  <c r="F36" i="23"/>
  <c r="F94" i="23"/>
  <c r="G94" i="23" s="1"/>
  <c r="F87" i="23"/>
  <c r="G87" i="23" s="1"/>
  <c r="F61" i="23"/>
  <c r="G61" i="23" s="1"/>
  <c r="F48" i="23"/>
  <c r="G48" i="23" s="1"/>
  <c r="F41" i="23"/>
  <c r="G41" i="23" s="1"/>
  <c r="F19" i="23"/>
  <c r="F10" i="23"/>
  <c r="G10" i="23" s="1"/>
  <c r="F31" i="29"/>
  <c r="F25" i="29"/>
  <c r="F19" i="29"/>
  <c r="F6" i="23"/>
  <c r="G6" i="23" s="1"/>
  <c r="F20" i="29"/>
  <c r="F92" i="23"/>
  <c r="G92" i="23" s="1"/>
  <c r="F86" i="23"/>
  <c r="G86" i="23" s="1"/>
  <c r="F74" i="23"/>
  <c r="G74" i="23" s="1"/>
  <c r="F69" i="23"/>
  <c r="G69" i="23" s="1"/>
  <c r="F60" i="23"/>
  <c r="G60" i="23" s="1"/>
  <c r="F46" i="23"/>
  <c r="F101" i="23"/>
  <c r="G101" i="23" s="1"/>
  <c r="F25" i="23"/>
  <c r="F18" i="23"/>
  <c r="G18" i="23" s="1"/>
  <c r="F8" i="23"/>
  <c r="G8" i="23" s="1"/>
  <c r="F30" i="29"/>
  <c r="F24" i="29"/>
  <c r="F18" i="29"/>
  <c r="F12" i="29"/>
  <c r="F6" i="29"/>
  <c r="F37" i="23"/>
  <c r="F28" i="29"/>
  <c r="F89" i="23"/>
  <c r="G89" i="23" s="1"/>
  <c r="F23" i="23"/>
  <c r="F27" i="29"/>
  <c r="F91" i="23"/>
  <c r="G91" i="23" s="1"/>
  <c r="F85" i="23"/>
  <c r="G85" i="23" s="1"/>
  <c r="F67" i="23"/>
  <c r="F45" i="23"/>
  <c r="G45" i="23" s="1"/>
  <c r="F100" i="23"/>
  <c r="G100" i="23" s="1"/>
  <c r="F29" i="23"/>
  <c r="F14" i="23"/>
  <c r="G14" i="23" s="1"/>
  <c r="F7" i="23"/>
  <c r="F29" i="29"/>
  <c r="F22" i="29"/>
  <c r="F16" i="29"/>
  <c r="F10" i="29"/>
  <c r="F28" i="23"/>
  <c r="F15" i="29"/>
  <c r="E72" i="20"/>
  <c r="E58" i="20"/>
  <c r="I46" i="23"/>
  <c r="C14" i="30" l="1"/>
  <c r="D14" i="30" s="1"/>
  <c r="J14" i="30"/>
  <c r="G103" i="23"/>
  <c r="J19" i="30"/>
  <c r="G31" i="29"/>
  <c r="G20" i="23"/>
  <c r="G21" i="29"/>
  <c r="G10" i="29"/>
  <c r="G27" i="29"/>
  <c r="G28" i="29"/>
  <c r="G12" i="29"/>
  <c r="G26" i="29"/>
  <c r="G39" i="23"/>
  <c r="G24" i="23"/>
  <c r="G38" i="23"/>
  <c r="G32" i="23"/>
  <c r="G29" i="23"/>
  <c r="G37" i="23"/>
  <c r="G20" i="29"/>
  <c r="G19" i="29"/>
  <c r="G5" i="29"/>
  <c r="G7" i="29"/>
  <c r="G21" i="23"/>
  <c r="G9" i="29"/>
  <c r="G22" i="23"/>
  <c r="G31" i="23"/>
  <c r="G15" i="29"/>
  <c r="G29" i="29"/>
  <c r="G6" i="29"/>
  <c r="G30" i="29"/>
  <c r="G14" i="29"/>
  <c r="G16" i="29"/>
  <c r="G23" i="23"/>
  <c r="G18" i="29"/>
  <c r="G22" i="29"/>
  <c r="G25" i="29"/>
  <c r="G19" i="23"/>
  <c r="G36" i="23"/>
  <c r="G13" i="29"/>
  <c r="G8" i="29"/>
  <c r="G26" i="23"/>
  <c r="G106" i="23"/>
  <c r="J18" i="30"/>
  <c r="C18" i="30"/>
  <c r="D18" i="30" s="1"/>
  <c r="J13" i="30"/>
  <c r="C13" i="30"/>
  <c r="D13" i="30" s="1"/>
  <c r="G4" i="29"/>
  <c r="E41" i="20"/>
  <c r="G46" i="23"/>
  <c r="G17" i="29" l="1"/>
  <c r="G11" i="29"/>
  <c r="I36" i="29" s="1"/>
  <c r="C7" i="30"/>
  <c r="D7" i="30" s="1"/>
  <c r="J7" i="30"/>
  <c r="J12" i="30"/>
  <c r="C12" i="30"/>
  <c r="D12" i="30" s="1"/>
  <c r="I37" i="29"/>
  <c r="I35" i="29"/>
  <c r="I34" i="29"/>
  <c r="I33" i="29"/>
  <c r="G3" i="29"/>
  <c r="I33" i="23" l="1"/>
  <c r="I67" i="23" l="1"/>
  <c r="I25" i="23"/>
  <c r="I7" i="23"/>
  <c r="I90" i="23"/>
  <c r="I28" i="23"/>
  <c r="G33" i="23"/>
  <c r="I71" i="23"/>
  <c r="I49" i="23"/>
  <c r="G71" i="23" l="1"/>
  <c r="G25" i="23"/>
  <c r="G7" i="23"/>
  <c r="G67" i="23"/>
  <c r="G28" i="23"/>
  <c r="G49" i="23"/>
  <c r="G90" i="23"/>
  <c r="G5" i="23" l="1"/>
  <c r="I50" i="23" l="1"/>
  <c r="I9" i="23"/>
  <c r="I12" i="23"/>
  <c r="I104" i="23"/>
  <c r="I4" i="23"/>
  <c r="I34" i="23"/>
  <c r="I40" i="23"/>
  <c r="I84" i="23"/>
  <c r="I68" i="23"/>
  <c r="I99" i="23"/>
  <c r="I102" i="23"/>
  <c r="I96" i="23"/>
  <c r="I93" i="23"/>
  <c r="I30" i="23" l="1"/>
  <c r="G12" i="23"/>
  <c r="G9" i="23"/>
  <c r="G84" i="23"/>
  <c r="G40" i="23"/>
  <c r="G99" i="23"/>
  <c r="G34" i="23"/>
  <c r="G4" i="23"/>
  <c r="G50" i="23"/>
  <c r="G68" i="23"/>
  <c r="G102" i="23"/>
  <c r="G96" i="23"/>
  <c r="G104" i="23"/>
  <c r="G93" i="23"/>
  <c r="J99" i="23"/>
  <c r="J34" i="23"/>
  <c r="G30" i="23" l="1"/>
  <c r="I17" i="23"/>
  <c r="G17" i="23" l="1"/>
  <c r="I112" i="23" l="1"/>
  <c r="F8" i="28" s="1"/>
  <c r="G112" i="23"/>
  <c r="I108" i="23"/>
  <c r="F4" i="28" s="1"/>
  <c r="I109" i="23"/>
  <c r="F5" i="28" s="1"/>
  <c r="G109" i="23"/>
  <c r="I110" i="23"/>
  <c r="F6" i="28" s="1"/>
  <c r="I107" i="23"/>
  <c r="G110" i="23"/>
  <c r="G111" i="23"/>
  <c r="G108" i="23"/>
  <c r="G107" i="23"/>
  <c r="I111" i="23"/>
  <c r="F7" i="28" s="1"/>
  <c r="G113" i="23" l="1"/>
  <c r="G2" i="23" s="1"/>
  <c r="I113" i="23"/>
  <c r="I24" i="29" l="1"/>
  <c r="I2" i="23"/>
  <c r="G6" i="28"/>
  <c r="G5" i="28"/>
  <c r="G7" i="28"/>
  <c r="G8" i="28"/>
  <c r="J86" i="23" l="1"/>
  <c r="J87" i="23"/>
  <c r="J26" i="23"/>
  <c r="J91" i="23"/>
  <c r="J92" i="23"/>
  <c r="J85" i="23"/>
  <c r="J15" i="23"/>
  <c r="J51" i="23"/>
  <c r="J8" i="23"/>
  <c r="G24" i="29"/>
  <c r="G23" i="29" s="1"/>
  <c r="G32" i="29" s="1"/>
  <c r="I23" i="29"/>
  <c r="I32" i="29"/>
  <c r="F3" i="28" s="1"/>
  <c r="J61" i="23"/>
  <c r="J98" i="23"/>
  <c r="J90" i="23"/>
  <c r="J66" i="23"/>
  <c r="J23" i="23"/>
  <c r="J45" i="23"/>
  <c r="J48" i="23"/>
  <c r="J46" i="23"/>
  <c r="J49" i="23"/>
  <c r="J28" i="23"/>
  <c r="J18" i="23"/>
  <c r="J33" i="23"/>
  <c r="J21" i="23"/>
  <c r="J22" i="23"/>
  <c r="J95" i="23"/>
  <c r="J103" i="23"/>
  <c r="J6" i="23"/>
  <c r="J97" i="23"/>
  <c r="J71" i="23"/>
  <c r="J7" i="23"/>
  <c r="J89" i="23"/>
  <c r="J70" i="23"/>
  <c r="J25" i="23"/>
  <c r="J64" i="23"/>
  <c r="J30" i="23"/>
  <c r="J67" i="23"/>
  <c r="J62" i="23"/>
  <c r="J20" i="23"/>
  <c r="J31" i="23"/>
  <c r="J32" i="23"/>
  <c r="J11" i="23"/>
  <c r="J10" i="23"/>
  <c r="J105" i="23"/>
  <c r="J5" i="23"/>
  <c r="J106" i="23"/>
  <c r="G3" i="28" l="1"/>
  <c r="G35" i="29"/>
  <c r="G34" i="29"/>
  <c r="G33" i="29"/>
  <c r="G36" i="29"/>
  <c r="G37" i="29"/>
  <c r="J84" i="23"/>
  <c r="J12" i="23"/>
  <c r="J40" i="23"/>
  <c r="J93" i="23"/>
  <c r="J104" i="23"/>
  <c r="J102" i="23"/>
  <c r="J96" i="23"/>
  <c r="J68" i="23"/>
  <c r="J50" i="23"/>
  <c r="J17" i="23"/>
  <c r="J9" i="23"/>
  <c r="J4" i="23"/>
  <c r="F9" i="28" l="1"/>
  <c r="E5" i="30" l="1"/>
  <c r="L5" i="30"/>
  <c r="J2" i="23"/>
  <c r="G4" i="28"/>
  <c r="G9" i="28" s="1"/>
  <c r="B21" i="28" l="1"/>
  <c r="D9" i="28"/>
  <c r="C5" i="30"/>
  <c r="D5" i="30" s="1"/>
  <c r="J5" i="30"/>
  <c r="G38" i="29" l="1"/>
  <c r="G1" i="29" s="1"/>
  <c r="I38" i="29"/>
  <c r="I1" i="29" s="1"/>
  <c r="J5" i="29" l="1"/>
  <c r="J27" i="29"/>
  <c r="J26" i="29"/>
  <c r="J25" i="29"/>
  <c r="J18" i="29"/>
  <c r="J17" i="29" s="1"/>
  <c r="J24" i="29"/>
  <c r="J14" i="29"/>
  <c r="J4" i="29"/>
  <c r="B17" i="28"/>
  <c r="J1" i="29"/>
  <c r="J3" i="29" l="1"/>
  <c r="J23" i="29"/>
  <c r="J11" i="29"/>
  <c r="D18" i="28"/>
  <c r="B19" i="28"/>
  <c r="B20" i="28" s="1"/>
  <c r="B23" i="28" l="1"/>
  <c r="D23" i="28" s="1"/>
  <c r="B25" i="28"/>
  <c r="D25" i="28" s="1"/>
  <c r="D15" i="20" l="1"/>
  <c r="D16" i="20"/>
  <c r="D5" i="20"/>
  <c r="D6" i="20"/>
  <c r="K17" i="28"/>
  <c r="M17" i="28" s="1"/>
  <c r="N17" i="28" s="1"/>
  <c r="O17" i="28" s="1"/>
  <c r="K19" i="28"/>
  <c r="M19" i="28" s="1"/>
  <c r="N19" i="28" s="1"/>
  <c r="O19" i="28" s="1"/>
  <c r="K20" i="28"/>
  <c r="M20" i="28" s="1"/>
  <c r="N20" i="28" s="1"/>
  <c r="O20" i="28" s="1"/>
  <c r="K14" i="28"/>
  <c r="M14" i="28" s="1"/>
  <c r="K6" i="28"/>
  <c r="M6" i="28" s="1"/>
  <c r="N6" i="28" s="1"/>
  <c r="O6" i="28" s="1"/>
  <c r="K5" i="28"/>
  <c r="M5" i="28" s="1"/>
  <c r="N5" i="28" s="1"/>
  <c r="O5" i="28" s="1"/>
  <c r="K4" i="28"/>
  <c r="M4" i="28" s="1"/>
  <c r="N4" i="28" s="1"/>
  <c r="O4" i="28" s="1"/>
  <c r="K22" i="28"/>
  <c r="M22" i="28" s="1"/>
  <c r="N22" i="28" s="1"/>
  <c r="O22" i="28" s="1"/>
  <c r="K15" i="28"/>
  <c r="M15" i="28" s="1"/>
  <c r="N15" i="28" s="1"/>
  <c r="O15" i="28" s="1"/>
  <c r="K11" i="28"/>
  <c r="M11" i="28" s="1"/>
  <c r="N11" i="28" s="1"/>
  <c r="O11" i="28" s="1"/>
  <c r="K9" i="28"/>
  <c r="M9" i="28" s="1"/>
  <c r="K18" i="28"/>
  <c r="M18" i="28" s="1"/>
  <c r="K12" i="28"/>
  <c r="M12" i="28" s="1"/>
  <c r="N12" i="28" s="1"/>
  <c r="O12" i="28" s="1"/>
  <c r="K8" i="28"/>
  <c r="M8" i="28" s="1"/>
  <c r="N8" i="28" s="1"/>
  <c r="O8" i="28" s="1"/>
  <c r="K10" i="28"/>
  <c r="M10" i="28" s="1"/>
  <c r="N10" i="28" s="1"/>
  <c r="O10" i="28" s="1"/>
  <c r="K21" i="28"/>
  <c r="M21" i="28" s="1"/>
  <c r="N21" i="28" s="1"/>
  <c r="O21" i="28" s="1"/>
  <c r="K7" i="28"/>
  <c r="M7" i="28" s="1"/>
  <c r="N7" i="28" s="1"/>
  <c r="O7" i="28" s="1"/>
  <c r="K16" i="28"/>
  <c r="M16" i="28" s="1"/>
  <c r="K3" i="28"/>
  <c r="M3" i="28" s="1"/>
  <c r="N3" i="28" s="1"/>
  <c r="O3" i="28" s="1"/>
  <c r="K13" i="28"/>
  <c r="M13" i="28" s="1"/>
  <c r="N13" i="28" s="1"/>
  <c r="O13" i="28" s="1"/>
  <c r="J22" i="28"/>
  <c r="J20" i="28"/>
  <c r="J19" i="28"/>
  <c r="J8" i="28"/>
  <c r="J10" i="28"/>
  <c r="J15" i="28"/>
  <c r="J3" i="28"/>
  <c r="J6" i="28"/>
  <c r="J12" i="28"/>
  <c r="J11" i="28"/>
  <c r="J13" i="28"/>
  <c r="J9" i="28"/>
  <c r="J18" i="28"/>
  <c r="J4" i="28"/>
  <c r="J16" i="28"/>
  <c r="J14" i="28"/>
  <c r="J21" i="28"/>
  <c r="J5" i="28"/>
  <c r="J17" i="28"/>
  <c r="J7" i="28"/>
  <c r="N9" i="28" l="1"/>
  <c r="O9" i="28" s="1"/>
  <c r="N14" i="28"/>
  <c r="O14" i="28" s="1"/>
  <c r="E15" i="20"/>
  <c r="F15" i="20"/>
  <c r="E16" i="20"/>
  <c r="F16" i="20"/>
  <c r="E6" i="20"/>
  <c r="F6" i="20"/>
  <c r="F5" i="20"/>
  <c r="E5" i="20"/>
  <c r="N18" i="28"/>
  <c r="O18" i="28" s="1"/>
  <c r="F11" i="28"/>
  <c r="F12" i="28"/>
  <c r="F13" i="28"/>
  <c r="N16" i="28"/>
  <c r="O16" i="28" s="1"/>
  <c r="G12" i="28" l="1"/>
  <c r="G13" i="28"/>
  <c r="E21" i="20"/>
  <c r="F21" i="20"/>
  <c r="F11" i="20"/>
  <c r="E11" i="20"/>
  <c r="G11" i="28"/>
  <c r="F14" i="28"/>
  <c r="C11" i="30" l="1"/>
  <c r="D11" i="30" s="1"/>
  <c r="G14" i="28"/>
  <c r="J11" i="30"/>
  <c r="E2" i="20"/>
  <c r="C10" i="30"/>
  <c r="D10" i="30" s="1"/>
  <c r="J10" i="30"/>
  <c r="E6" i="30"/>
  <c r="E8" i="30" s="1"/>
  <c r="F16" i="28"/>
  <c r="L6" i="30"/>
  <c r="L8" i="30" s="1"/>
  <c r="C6" i="30" l="1"/>
  <c r="D6" i="30" s="1"/>
  <c r="G16" i="28"/>
  <c r="D15" i="30"/>
  <c r="C45" i="30" s="1"/>
  <c r="J6" i="30"/>
  <c r="K8" i="30" s="1"/>
  <c r="K15" i="30"/>
  <c r="D8" i="30" l="1"/>
  <c r="H8" i="30" s="1"/>
  <c r="H15" i="30"/>
  <c r="C44" i="30" l="1"/>
  <c r="I49" i="30"/>
  <c r="I47" i="30"/>
  <c r="J17" i="30" l="1"/>
  <c r="I90" i="12"/>
  <c r="I92" i="12" s="1"/>
  <c r="C17" i="30"/>
  <c r="D17" i="30" s="1"/>
  <c r="I1" i="12" l="1"/>
  <c r="J20" i="30"/>
  <c r="K21" i="30" s="1"/>
  <c r="K23" i="30" s="1"/>
  <c r="C20" i="30"/>
  <c r="D20" i="30" s="1"/>
  <c r="J82" i="12" l="1"/>
  <c r="J85" i="12"/>
  <c r="J80" i="12"/>
  <c r="J81" i="12"/>
  <c r="J86" i="12"/>
  <c r="J70" i="12"/>
  <c r="J83" i="12"/>
  <c r="J84" i="12"/>
  <c r="J64" i="12"/>
  <c r="J63" i="12"/>
  <c r="J10" i="12"/>
  <c r="J32" i="12"/>
  <c r="J9" i="12"/>
  <c r="J7" i="12"/>
  <c r="J8" i="12"/>
  <c r="J6" i="12"/>
  <c r="J4" i="12"/>
  <c r="J33" i="12"/>
  <c r="J28" i="12"/>
  <c r="J57" i="12"/>
  <c r="J58" i="12"/>
  <c r="J59" i="12"/>
  <c r="J62" i="12"/>
  <c r="J60" i="12"/>
  <c r="J53" i="12"/>
  <c r="J54" i="12"/>
  <c r="J55" i="12"/>
  <c r="J56" i="12"/>
  <c r="J61" i="12"/>
  <c r="J22" i="12"/>
  <c r="J27" i="12"/>
  <c r="J29" i="12"/>
  <c r="J23" i="12"/>
  <c r="J24" i="12"/>
  <c r="J25" i="12"/>
  <c r="J26" i="12"/>
  <c r="J30" i="12"/>
  <c r="J20" i="12"/>
  <c r="J35" i="12"/>
  <c r="J15" i="12"/>
  <c r="J5" i="12"/>
  <c r="J17" i="12"/>
  <c r="J19" i="12"/>
  <c r="J14" i="12"/>
  <c r="J12" i="12"/>
  <c r="J3" i="12"/>
  <c r="J78" i="12"/>
  <c r="J49" i="12"/>
  <c r="J48" i="12"/>
  <c r="J50" i="12"/>
  <c r="J51" i="12"/>
  <c r="J52" i="12"/>
  <c r="J45" i="12"/>
  <c r="J46" i="12"/>
  <c r="J47" i="12"/>
  <c r="D21" i="30"/>
  <c r="C52" i="30" s="1"/>
  <c r="J89" i="12"/>
  <c r="J66" i="12"/>
  <c r="J67" i="12"/>
  <c r="J65" i="12"/>
  <c r="J68" i="12"/>
  <c r="J69" i="12"/>
  <c r="J79" i="12"/>
  <c r="J40" i="12"/>
  <c r="J41" i="12"/>
  <c r="J16" i="12"/>
  <c r="J21" i="12"/>
  <c r="J11" i="12"/>
  <c r="J90" i="12"/>
  <c r="J25" i="30"/>
  <c r="J26" i="30"/>
  <c r="K24" i="30"/>
  <c r="K28" i="30" s="1"/>
  <c r="K29" i="30" s="1"/>
  <c r="J88" i="12"/>
  <c r="J73" i="12"/>
  <c r="J31" i="12"/>
  <c r="J72" i="12"/>
  <c r="J91" i="12"/>
  <c r="J34" i="12"/>
  <c r="J75" i="12"/>
  <c r="J76" i="12"/>
  <c r="J39" i="12"/>
  <c r="J44" i="12"/>
  <c r="J38" i="12"/>
  <c r="J71" i="12"/>
  <c r="J37" i="12"/>
  <c r="J77" i="12"/>
  <c r="J74" i="12"/>
  <c r="J87" i="12"/>
  <c r="J92" i="12"/>
  <c r="H21" i="30" l="1"/>
  <c r="D23" i="30"/>
  <c r="K32" i="30"/>
  <c r="D55" i="30" l="1"/>
  <c r="C54" i="30" s="1"/>
  <c r="D48" i="30"/>
  <c r="C47" i="30" s="1"/>
  <c r="C26" i="30"/>
  <c r="D24" i="30"/>
  <c r="D29" i="30" s="1"/>
  <c r="D32" i="30" s="1"/>
  <c r="C34" i="30" s="1"/>
  <c r="C25" i="30"/>
  <c r="H23" i="30"/>
  <c r="C24" i="30"/>
  <c r="C29" i="30" s="1"/>
  <c r="J34" i="30"/>
  <c r="K35" i="30" s="1"/>
  <c r="J36" i="30" s="1"/>
  <c r="J30" i="30"/>
  <c r="J31" i="30"/>
  <c r="J24" i="30"/>
  <c r="J29" i="30" s="1"/>
  <c r="C31" i="30" l="1"/>
  <c r="C53" i="30"/>
  <c r="H32" i="30"/>
  <c r="C30" i="30"/>
  <c r="D35" i="30" l="1"/>
  <c r="D56" i="30"/>
  <c r="C46" i="30"/>
  <c r="D49" i="30" s="1"/>
  <c r="C58" i="30" l="1"/>
  <c r="C59" i="30" s="1"/>
  <c r="C60" i="30" s="1"/>
  <c r="H34" i="30"/>
  <c r="D36" i="30" l="1"/>
  <c r="C36" i="30"/>
  <c r="K36" i="30" l="1"/>
  <c r="K39" i="30" s="1"/>
  <c r="C37" i="30"/>
  <c r="C38" i="30"/>
  <c r="D39" i="30"/>
  <c r="I44" i="30" s="1"/>
  <c r="H36" i="30" l="1"/>
  <c r="H39" i="30"/>
  <c r="I43" i="30"/>
  <c r="J38" i="30"/>
  <c r="J37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8" authorId="0" shapeId="0" xr:uid="{B28BA94A-33CE-47A7-9C3B-7DC314547BDB}">
      <text>
        <r>
          <rPr>
            <sz val="9"/>
            <color indexed="81"/>
            <rFont val="Tahoma"/>
            <family val="2"/>
          </rPr>
          <t xml:space="preserve">Use goal seek to tweak if needed for Net Margin Target of 25%
</t>
        </r>
      </text>
    </comment>
    <comment ref="G43" authorId="0" shapeId="0" xr:uid="{8D33C83C-3F98-4B93-A798-10450C91BA42}">
      <text>
        <r>
          <rPr>
            <sz val="9"/>
            <color indexed="81"/>
            <rFont val="Tahoma"/>
            <family val="2"/>
          </rPr>
          <t>Based on Break Even</t>
        </r>
      </text>
    </comment>
    <comment ref="G44" authorId="0" shapeId="0" xr:uid="{8934DDBA-A8C5-456A-B3BE-0A6F727B0729}">
      <text>
        <r>
          <rPr>
            <sz val="9"/>
            <color indexed="81"/>
            <rFont val="Tahoma"/>
            <family val="2"/>
          </rPr>
          <t>Based on Mark-ups applied</t>
        </r>
      </text>
    </comment>
    <comment ref="I46" authorId="0" shapeId="0" xr:uid="{F22EDD30-C2E4-4B45-B1FD-3AD14BD8297D}">
      <text>
        <r>
          <rPr>
            <sz val="9"/>
            <color indexed="81"/>
            <rFont val="Tahoma"/>
            <family val="2"/>
          </rPr>
          <t xml:space="preserve">Dollar value of </t>
        </r>
        <r>
          <rPr>
            <b/>
            <sz val="9"/>
            <color indexed="81"/>
            <rFont val="Tahoma"/>
            <family val="2"/>
          </rPr>
          <t>CUSTOMER</t>
        </r>
        <r>
          <rPr>
            <sz val="9"/>
            <color indexed="81"/>
            <rFont val="Tahoma"/>
            <family val="2"/>
          </rPr>
          <t xml:space="preserve"> provided equipment and materials
</t>
        </r>
      </text>
    </comment>
  </commentList>
</comments>
</file>

<file path=xl/sharedStrings.xml><?xml version="1.0" encoding="utf-8"?>
<sst xmlns="http://schemas.openxmlformats.org/spreadsheetml/2006/main" count="1389" uniqueCount="554">
  <si>
    <t>Quantity</t>
  </si>
  <si>
    <t>Category</t>
  </si>
  <si>
    <t>Item Description</t>
  </si>
  <si>
    <t>Unit Cost</t>
  </si>
  <si>
    <t>Ext Cost</t>
  </si>
  <si>
    <t>Est S&amp;H</t>
  </si>
  <si>
    <t>Structure Support Labor</t>
  </si>
  <si>
    <t>Cost</t>
  </si>
  <si>
    <t>6x2 Ladder Rack 20'/hr</t>
  </si>
  <si>
    <t>24x4 Ladder Rack 10'/hr</t>
  </si>
  <si>
    <t>24x4 Wire Basket 10'/hr</t>
  </si>
  <si>
    <t>1" Conduit 40'/hr -Bend/Cut</t>
  </si>
  <si>
    <t>2" Conduit 20'/hr -Bend/Cut</t>
  </si>
  <si>
    <t>4" Conduit 20'/hr</t>
  </si>
  <si>
    <t>6" Conduit 20'/hr</t>
  </si>
  <si>
    <t>Backbone Cabling Labor</t>
  </si>
  <si>
    <t>25-Pair CAT3 ABAM (per ft)</t>
  </si>
  <si>
    <t>12-Strand Fusion Pigtails</t>
  </si>
  <si>
    <t>24-Strand Fusion Pigtails</t>
  </si>
  <si>
    <t>48-Strand Fusion Pigtails</t>
  </si>
  <si>
    <t>Splice Trays/Cabinets</t>
  </si>
  <si>
    <t>Days</t>
  </si>
  <si>
    <t>Project Manager</t>
  </si>
  <si>
    <t>Rate</t>
  </si>
  <si>
    <t>Hours</t>
  </si>
  <si>
    <t>Airfare</t>
  </si>
  <si>
    <t>Lodging</t>
  </si>
  <si>
    <t>Per Diem</t>
  </si>
  <si>
    <t>Construction Manager</t>
  </si>
  <si>
    <t>Hourly Cost</t>
  </si>
  <si>
    <t>Demolition</t>
  </si>
  <si>
    <t>Trunk Demo &lt;150ft</t>
  </si>
  <si>
    <t>Trunk Demo &gt;150ft</t>
  </si>
  <si>
    <t>Relay Rack Demo</t>
  </si>
  <si>
    <t>Antenna</t>
  </si>
  <si>
    <t>Minutes Per Unit</t>
  </si>
  <si>
    <t>Unit</t>
  </si>
  <si>
    <t>Adder for Hard lid ceiling</t>
  </si>
  <si>
    <t>Each</t>
  </si>
  <si>
    <t>Adder driver for instances of height over 20'</t>
  </si>
  <si>
    <t>Per Foot</t>
  </si>
  <si>
    <t>Adder driver for instances of height 50+'</t>
  </si>
  <si>
    <t>HEPA Cart and work area containment</t>
  </si>
  <si>
    <t>Develop and Install custom Antenna Mount</t>
  </si>
  <si>
    <t>Boring/Trenching/Coring</t>
  </si>
  <si>
    <t>Install Pathway Sleeves in existing core</t>
  </si>
  <si>
    <t>Drill, Sheet Rock. 6" or less</t>
  </si>
  <si>
    <t>Cable Management</t>
  </si>
  <si>
    <t>Create structure to install ladder rack to</t>
  </si>
  <si>
    <t>Create structure to mount Cable tray to</t>
  </si>
  <si>
    <t>Install ladder rack to exposed structure</t>
  </si>
  <si>
    <t>Install ladder rack to structure above existing ceiling</t>
  </si>
  <si>
    <t>Coax</t>
  </si>
  <si>
    <t>Connectorize RG6/Ethernet cable</t>
  </si>
  <si>
    <t>Install combiner/splitters</t>
  </si>
  <si>
    <t>Conduit</t>
  </si>
  <si>
    <t>Install seal tight conduit</t>
  </si>
  <si>
    <t>DAS Turn-Up</t>
  </si>
  <si>
    <t>Greenlight DAS / clear all alarms per remote</t>
  </si>
  <si>
    <t>Walk Testing per antenna per operator</t>
  </si>
  <si>
    <t>Decommissioning</t>
  </si>
  <si>
    <t>Decomm DAS antennas</t>
  </si>
  <si>
    <t>Documentation</t>
  </si>
  <si>
    <t>Complete close out package</t>
  </si>
  <si>
    <t>Fiber</t>
  </si>
  <si>
    <t>Individual Fiber Splicing</t>
  </si>
  <si>
    <t xml:space="preserve">Install Fiber Jumper up to 12 feet </t>
  </si>
  <si>
    <t>Head End</t>
  </si>
  <si>
    <t>Install alarm panel / modem</t>
  </si>
  <si>
    <t>External dry contact alarming  setup</t>
  </si>
  <si>
    <t>Install SNMP Switch</t>
  </si>
  <si>
    <t>Setup alarm reporting with NOC</t>
  </si>
  <si>
    <t>Outdoor cabinet installation</t>
  </si>
  <si>
    <t>Install empty cabinet</t>
  </si>
  <si>
    <t>Install Fencing per foot -  removal is double cost</t>
  </si>
  <si>
    <t>Provide and install CELL LOG book, chair, and broom</t>
  </si>
  <si>
    <t>Install Smoke Detector (tied into building Alarm system)</t>
  </si>
  <si>
    <t>Add Card to DAS Equipment</t>
  </si>
  <si>
    <t>Install passive DAS component</t>
  </si>
  <si>
    <t>Install Remote</t>
  </si>
  <si>
    <t>Power/Ground</t>
  </si>
  <si>
    <t>Install Chemical Grounding Rod</t>
  </si>
  <si>
    <t>Install Main Ground Bar</t>
  </si>
  <si>
    <t>Install 19"/23" Power Plant in Existing Rack</t>
  </si>
  <si>
    <t>Composite cable dressing/ DC connections per copper strand</t>
  </si>
  <si>
    <t>Install AC fuse Panel</t>
  </si>
  <si>
    <t>Install Breakers into existing panel</t>
  </si>
  <si>
    <t>Install DC Fuse Panel</t>
  </si>
  <si>
    <t>Install Rectifiers</t>
  </si>
  <si>
    <t>AC Panel Install</t>
  </si>
  <si>
    <t>EMON/DMON Meter Install</t>
  </si>
  <si>
    <t>Connectorize and connect Power/Grounding cables</t>
  </si>
  <si>
    <t>Remote</t>
  </si>
  <si>
    <t>Install backboard</t>
  </si>
  <si>
    <t>Install Expansion Hub</t>
  </si>
  <si>
    <t>Rooftop</t>
  </si>
  <si>
    <t>Work near rooftop edge</t>
  </si>
  <si>
    <t>Weather proofing for Antenna</t>
  </si>
  <si>
    <t>Lift</t>
  </si>
  <si>
    <t>Manufacturer</t>
  </si>
  <si>
    <t>Model</t>
  </si>
  <si>
    <t>Type</t>
  </si>
  <si>
    <t>Total Direct Cost</t>
  </si>
  <si>
    <t>Total CM Hours</t>
  </si>
  <si>
    <t>Install Hybrid Fiber</t>
  </si>
  <si>
    <t>Develop and Install custom mount for splitters/couplers</t>
  </si>
  <si>
    <t>Connectorize captive coax up to half inch</t>
  </si>
  <si>
    <t>Connectorize compression coax up to half inch</t>
  </si>
  <si>
    <t>Connectorize captive coax greater than half inch</t>
  </si>
  <si>
    <t>Connectorize compression coax greater than half inch</t>
  </si>
  <si>
    <t>Sweep Test per line</t>
  </si>
  <si>
    <t>Percent of Labor</t>
  </si>
  <si>
    <t>% of Total Cost</t>
  </si>
  <si>
    <t>Site Walk</t>
  </si>
  <si>
    <t>QTY</t>
  </si>
  <si>
    <t>Labor Total</t>
  </si>
  <si>
    <t>~</t>
  </si>
  <si>
    <t>Install DAS Headend equipment including grounding to rack</t>
  </si>
  <si>
    <t>3 Phase Subpanel Install</t>
  </si>
  <si>
    <t>Total</t>
  </si>
  <si>
    <t>Tech</t>
  </si>
  <si>
    <t>Total Hours</t>
  </si>
  <si>
    <t>Denotes Fields for Input</t>
  </si>
  <si>
    <t>Denotes DO NOT TOUCH</t>
  </si>
  <si>
    <t>Hours In Project</t>
  </si>
  <si>
    <t>To Complete In Weeks</t>
  </si>
  <si>
    <t>CM's Needed</t>
  </si>
  <si>
    <t>Total Project Hours</t>
  </si>
  <si>
    <t>Project Labor Estimate</t>
  </si>
  <si>
    <t>Staging&amp;MaterialMultiplier</t>
  </si>
  <si>
    <t>Total Project time</t>
  </si>
  <si>
    <t>Total from Here</t>
  </si>
  <si>
    <t>Technician</t>
  </si>
  <si>
    <t>Labor Type</t>
  </si>
  <si>
    <t>Per Hour</t>
  </si>
  <si>
    <t>Multiplier</t>
  </si>
  <si>
    <t xml:space="preserve">Project Hourly Cost </t>
  </si>
  <si>
    <t>Grand</t>
  </si>
  <si>
    <t>Project Coordinator</t>
  </si>
  <si>
    <t>% of project</t>
  </si>
  <si>
    <t>Average Ops Labor Rate</t>
  </si>
  <si>
    <t>Staging&amp; Material Time/ hour</t>
  </si>
  <si>
    <t>Project Labor Cost</t>
  </si>
  <si>
    <t>Hours per Man-Day</t>
  </si>
  <si>
    <t>Man-Days in Project</t>
  </si>
  <si>
    <t>Hours per Man-Week</t>
  </si>
  <si>
    <t>Man-Weeks in Project</t>
  </si>
  <si>
    <t>To Complete In days</t>
  </si>
  <si>
    <t>Technicians Needed</t>
  </si>
  <si>
    <t>Expense Type</t>
  </si>
  <si>
    <t>Travel</t>
  </si>
  <si>
    <t>Lodging Total</t>
  </si>
  <si>
    <t>Per Diem Total</t>
  </si>
  <si>
    <t>Travel Total</t>
  </si>
  <si>
    <t>Qty</t>
  </si>
  <si>
    <t>Rentals</t>
  </si>
  <si>
    <t>Airfare Total</t>
  </si>
  <si>
    <t>PIM</t>
  </si>
  <si>
    <t>Sweep</t>
  </si>
  <si>
    <t>Per Qty</t>
  </si>
  <si>
    <t>Miscellaneous</t>
  </si>
  <si>
    <t>Rentals Total</t>
  </si>
  <si>
    <t>Pass Throughs</t>
  </si>
  <si>
    <t>Pass Throughs Grand Total</t>
  </si>
  <si>
    <t>Hardware Totals</t>
  </si>
  <si>
    <t>Minutes /Unit /2 Labor</t>
  </si>
  <si>
    <t>Material</t>
  </si>
  <si>
    <t>Consumable</t>
  </si>
  <si>
    <t>Totals</t>
  </si>
  <si>
    <t>Operational Admin</t>
  </si>
  <si>
    <t>Mark-Ups Applied</t>
  </si>
  <si>
    <t>Break-Even</t>
  </si>
  <si>
    <t>Description</t>
  </si>
  <si>
    <t>Amount</t>
  </si>
  <si>
    <t>M/U Rate</t>
  </si>
  <si>
    <t>Fed From</t>
  </si>
  <si>
    <t/>
  </si>
  <si>
    <t>Total Expense</t>
  </si>
  <si>
    <t xml:space="preserve"> Projected Gross Profit $$</t>
  </si>
  <si>
    <t>Mark-Up%</t>
  </si>
  <si>
    <t xml:space="preserve"> Gross Margin %</t>
  </si>
  <si>
    <t>Tweak for Margin Target</t>
  </si>
  <si>
    <t>To achieve desired GM</t>
  </si>
  <si>
    <t>PGM $$ Post Tweak</t>
  </si>
  <si>
    <t>Mark-Up% Post Tweak</t>
  </si>
  <si>
    <t xml:space="preserve"> Gross Margin % Post Tweak</t>
  </si>
  <si>
    <t>Grand Total</t>
  </si>
  <si>
    <t>Venue Covered sqft</t>
  </si>
  <si>
    <t>Total Labor</t>
  </si>
  <si>
    <t>Total Labor to Bid</t>
  </si>
  <si>
    <t>Client Provided Equipment</t>
  </si>
  <si>
    <t>Total Material to Bid</t>
  </si>
  <si>
    <t>Sales Tax Rate</t>
  </si>
  <si>
    <t>Grand Total to Bid</t>
  </si>
  <si>
    <t>Labor Projections</t>
  </si>
  <si>
    <t>Operational Labor</t>
  </si>
  <si>
    <t>Ops Admin Labor</t>
  </si>
  <si>
    <t>Total Project Labor</t>
  </si>
  <si>
    <t>Total Materials</t>
  </si>
  <si>
    <t>Bill of Materials</t>
  </si>
  <si>
    <t>Labor</t>
  </si>
  <si>
    <t>Pass Through</t>
  </si>
  <si>
    <t>Total Pass Through Expense</t>
  </si>
  <si>
    <t>Tax Exempt</t>
  </si>
  <si>
    <t>Tax Included</t>
  </si>
  <si>
    <t>Tax Amount</t>
  </si>
  <si>
    <t>Tax Rate</t>
  </si>
  <si>
    <t>Estimate Package For:</t>
  </si>
  <si>
    <t>Client</t>
  </si>
  <si>
    <t xml:space="preserve">Project </t>
  </si>
  <si>
    <t>RFP Received Date</t>
  </si>
  <si>
    <t>Bid Due Date</t>
  </si>
  <si>
    <t>Estimated By</t>
  </si>
  <si>
    <t>Customer Contact Name</t>
  </si>
  <si>
    <t>Phone</t>
  </si>
  <si>
    <t>Email</t>
  </si>
  <si>
    <t>Customer Type</t>
  </si>
  <si>
    <t>Direct Customer</t>
  </si>
  <si>
    <t>General Contractor</t>
  </si>
  <si>
    <t>Sub/Tier</t>
  </si>
  <si>
    <t>Job Site Address</t>
  </si>
  <si>
    <t>Project Overview</t>
  </si>
  <si>
    <t>Project Specifics- Previous Customer Experiences, Special Circumstances etc</t>
  </si>
  <si>
    <t>InstallCategory Cable</t>
  </si>
  <si>
    <t>Test Category Cable (per Drop)</t>
  </si>
  <si>
    <r>
      <t xml:space="preserve">Labor Needed Guage Tool, </t>
    </r>
    <r>
      <rPr>
        <b/>
        <sz val="11"/>
        <color theme="0"/>
        <rFont val="Calibri"/>
        <family val="2"/>
        <scheme val="minor"/>
      </rPr>
      <t>Put Techs Needed in B25</t>
    </r>
  </si>
  <si>
    <t>Benchmark Post Process (per carrier / Building)</t>
  </si>
  <si>
    <t>% of Project</t>
  </si>
  <si>
    <t>PGM Grand Total</t>
  </si>
  <si>
    <t xml:space="preserve">PNM Grand Total </t>
  </si>
  <si>
    <t>Projected Net Margins Grand Totals</t>
  </si>
  <si>
    <t>Projected Gross Margins  Grand Totals</t>
  </si>
  <si>
    <t>PNM Grand Total</t>
  </si>
  <si>
    <t>Employee Count</t>
  </si>
  <si>
    <t>Ticket Cost</t>
  </si>
  <si>
    <t>Corporate</t>
  </si>
  <si>
    <t>Mark-Up for Corporate</t>
  </si>
  <si>
    <t xml:space="preserve"> Projected Net Profit $$</t>
  </si>
  <si>
    <t xml:space="preserve"> Net Margin %</t>
  </si>
  <si>
    <t>Cost of Corporate</t>
  </si>
  <si>
    <t>Calendar</t>
  </si>
  <si>
    <t>Higher than GM due to Comm and Corp mark-ups</t>
  </si>
  <si>
    <t>Supv</t>
  </si>
  <si>
    <t>Reg</t>
  </si>
  <si>
    <t>Equipment</t>
  </si>
  <si>
    <t>OT</t>
  </si>
  <si>
    <t>Sub</t>
  </si>
  <si>
    <t>DT</t>
  </si>
  <si>
    <t>Ungd</t>
  </si>
  <si>
    <t>LF</t>
  </si>
  <si>
    <t>Civil</t>
  </si>
  <si>
    <t>Ea</t>
  </si>
  <si>
    <t>CY</t>
  </si>
  <si>
    <t>Elec</t>
  </si>
  <si>
    <t>Lot</t>
  </si>
  <si>
    <t>RF</t>
  </si>
  <si>
    <t>Day</t>
  </si>
  <si>
    <t>Week</t>
  </si>
  <si>
    <t>SF</t>
  </si>
  <si>
    <t>Month</t>
  </si>
  <si>
    <t>Hotel</t>
  </si>
  <si>
    <t>HR</t>
  </si>
  <si>
    <t>Permits</t>
  </si>
  <si>
    <t>Bond</t>
  </si>
  <si>
    <t>Position</t>
  </si>
  <si>
    <t>Civil - Foreman</t>
  </si>
  <si>
    <t>Civil - Lead</t>
  </si>
  <si>
    <t>Civil - Laborer</t>
  </si>
  <si>
    <t>Elec - Foreman</t>
  </si>
  <si>
    <t>Elec - Lead</t>
  </si>
  <si>
    <t>YES</t>
  </si>
  <si>
    <t>Elec - Laborer</t>
  </si>
  <si>
    <t>NO</t>
  </si>
  <si>
    <t>RF - Foreman</t>
  </si>
  <si>
    <t>RF - Lead</t>
  </si>
  <si>
    <t>RF - Laborer</t>
  </si>
  <si>
    <t>Tech - Foreman</t>
  </si>
  <si>
    <t>Tech - Lead</t>
  </si>
  <si>
    <t>EA</t>
  </si>
  <si>
    <t>Tech - Laborer</t>
  </si>
  <si>
    <t xml:space="preserve"> </t>
  </si>
  <si>
    <t>Underground - Foreman</t>
  </si>
  <si>
    <t>Battery</t>
  </si>
  <si>
    <t>Underground - Laborer</t>
  </si>
  <si>
    <t>COW/COLT</t>
  </si>
  <si>
    <t>C-RAN/Dark Fiber</t>
  </si>
  <si>
    <t>DAS</t>
  </si>
  <si>
    <t>DC PWR / PWR Upgrade</t>
  </si>
  <si>
    <t>Decom</t>
  </si>
  <si>
    <t>Gen Mod</t>
  </si>
  <si>
    <t>HVAC</t>
  </si>
  <si>
    <t>Microwave</t>
  </si>
  <si>
    <t>Modification (Civil/Tower)</t>
  </si>
  <si>
    <t>NCD / NSD / NSB</t>
  </si>
  <si>
    <t>Other</t>
  </si>
  <si>
    <t>Site Prep</t>
  </si>
  <si>
    <t>Small Cell</t>
  </si>
  <si>
    <t>Temp/Relo</t>
  </si>
  <si>
    <t>Upgrade</t>
  </si>
  <si>
    <t>Upgrade / Maintenance</t>
  </si>
  <si>
    <t>Underground</t>
  </si>
  <si>
    <t>EVCS</t>
  </si>
  <si>
    <t>Contingency</t>
  </si>
  <si>
    <t>Total Days</t>
  </si>
  <si>
    <t>Supervision</t>
  </si>
  <si>
    <t>Reg Bill with MU</t>
  </si>
  <si>
    <t>RF-Engineer</t>
  </si>
  <si>
    <t>RF-Technician</t>
  </si>
  <si>
    <t>S&amp;H / Material Contingency</t>
  </si>
  <si>
    <t>Vendor</t>
  </si>
  <si>
    <t>Labeling Antenna</t>
  </si>
  <si>
    <t>Install Antenna</t>
  </si>
  <si>
    <t>Labeling Coax and Category Cable</t>
  </si>
  <si>
    <t>Labeling for splitter</t>
  </si>
  <si>
    <t>Labeling Fiber</t>
  </si>
  <si>
    <t>Labeling Fiber Housing</t>
  </si>
  <si>
    <t>Labeling DAS Equipment</t>
  </si>
  <si>
    <t>Labeling for Grounding (includes everything GRND)</t>
  </si>
  <si>
    <t>Install 19/23" rack on existing concrete slab</t>
  </si>
  <si>
    <t>Install 19/23" rack on existing raised floor</t>
  </si>
  <si>
    <t xml:space="preserve">Install SIAD - complete cabled system </t>
  </si>
  <si>
    <t>Adder - Painting of support, cabling, or conduit in place</t>
  </si>
  <si>
    <t>Grounding System - tie into existing indoor ground</t>
  </si>
  <si>
    <t>Decomm Batteries</t>
  </si>
  <si>
    <t>CommScope</t>
  </si>
  <si>
    <t>Cable</t>
  </si>
  <si>
    <t>Rack Materials</t>
  </si>
  <si>
    <t>Electrical</t>
  </si>
  <si>
    <t>HD</t>
  </si>
  <si>
    <t>3/8 x 1 bolts - stainless</t>
  </si>
  <si>
    <t>3/8 flat washers - stainless</t>
  </si>
  <si>
    <t>3/8 lock washers - stainless</t>
  </si>
  <si>
    <t>3/8 nut - stainless</t>
  </si>
  <si>
    <t>1/2 snap-ins</t>
  </si>
  <si>
    <t>14" black zipties</t>
  </si>
  <si>
    <t>1/2 x 4" concrete anchors</t>
  </si>
  <si>
    <t>#10x3/4" wood screws</t>
  </si>
  <si>
    <t>5/16" heat shrink</t>
  </si>
  <si>
    <t>#12 Thhn red wire</t>
  </si>
  <si>
    <t>#12 Thhn black wire</t>
  </si>
  <si>
    <t>#12 Thhn white wire</t>
  </si>
  <si>
    <t>#6 1 hole lugs</t>
  </si>
  <si>
    <t>MT-586G-250</t>
  </si>
  <si>
    <t>Ground Wire, #6 AWG, stranded insulated, green jacket, 250 ft roll</t>
  </si>
  <si>
    <t>ROHN</t>
  </si>
  <si>
    <t>FRM225</t>
  </si>
  <si>
    <t>FRMMAT</t>
  </si>
  <si>
    <t>Anixter</t>
  </si>
  <si>
    <t>Rack</t>
  </si>
  <si>
    <t>Chatsworth</t>
  </si>
  <si>
    <t>30139-719</t>
  </si>
  <si>
    <t>12639-001</t>
  </si>
  <si>
    <t>Fiber Test</t>
  </si>
  <si>
    <t>Commissioning</t>
  </si>
  <si>
    <t>Thor</t>
  </si>
  <si>
    <t>Corning</t>
  </si>
  <si>
    <t>CAT cable tester</t>
  </si>
  <si>
    <t>A&amp;E Site walk - KH</t>
  </si>
  <si>
    <t>Install  Rack cable management</t>
  </si>
  <si>
    <t>BAT Materials</t>
  </si>
  <si>
    <t>DAS Materials</t>
  </si>
  <si>
    <t xml:space="preserve">Total Materials </t>
  </si>
  <si>
    <t>Install  19/23" rack</t>
  </si>
  <si>
    <t>Soft Costs</t>
  </si>
  <si>
    <t>Ibwave design</t>
  </si>
  <si>
    <t>Leasing</t>
  </si>
  <si>
    <t>Site Acquisition</t>
  </si>
  <si>
    <t>Pre Integration</t>
  </si>
  <si>
    <t>Post Integration</t>
  </si>
  <si>
    <t>Soft Cost Total</t>
  </si>
  <si>
    <t>Splitter</t>
  </si>
  <si>
    <t>JMA Wireless</t>
  </si>
  <si>
    <t>Benchmark Testing</t>
  </si>
  <si>
    <t>Site Audit/Precon Survey</t>
  </si>
  <si>
    <t>Extra</t>
  </si>
  <si>
    <t>37G00189332-400F</t>
  </si>
  <si>
    <t>Corning ONE Composite  Cable Assembly, 6F/6C 16 AWG,400 Ft.</t>
  </si>
  <si>
    <t>RFI</t>
  </si>
  <si>
    <t>GPS</t>
  </si>
  <si>
    <t>PCTEL</t>
  </si>
  <si>
    <t>GPS-TMG-HR-26N</t>
  </si>
  <si>
    <t>26 DB HIGH REJECTION ANTENNA WITH ENHANCED NARROW BAND FILTERING</t>
  </si>
  <si>
    <t>RFS</t>
  </si>
  <si>
    <t>RLCF12-50J</t>
  </si>
  <si>
    <t xml:space="preserve">1/2" CELLFLEX® Low-Loss Foam-Dielectric Coaxial Cable: Outdoor </t>
  </si>
  <si>
    <t>HL4RPV-50</t>
  </si>
  <si>
    <t>1/2" HELIAX® Plenum Rated Air Dielectric Coaxial Cable - Corrugated Copper - Blue PVDF Jacket – 50-ohm</t>
  </si>
  <si>
    <t>GKSPEED20-12C</t>
  </si>
  <si>
    <t>High speed grounding kit for CELLFLEX® LCF 12</t>
  </si>
  <si>
    <t>43M43FS14 PE-060FFS</t>
  </si>
  <si>
    <t>CELLFLEX® Factory-Fit Jumper Assembly, 1/2" Low Loss Foam</t>
  </si>
  <si>
    <t>F-1GPS-TX/RX</t>
  </si>
  <si>
    <t>GPS over Fiber receiver</t>
  </si>
  <si>
    <t>TAPE-SF-19X9-B</t>
  </si>
  <si>
    <t xml:space="preserve">Self Fusing Tape, Black </t>
  </si>
  <si>
    <t>WPFG-1</t>
  </si>
  <si>
    <t>Weather proofing kit (with Butyl Rubber)</t>
  </si>
  <si>
    <t>60"H Non-Penetrating Mount TESSCO SKU: 518376</t>
  </si>
  <si>
    <t>Mat Kit for FRM Mounts, 42-1/2"x 36" x 1/8" thick. TESSCO SKU: 81998</t>
  </si>
  <si>
    <t>Universal Horizontal Cable Manager; 1 RMU; 19"W ; Single-Sided; Black</t>
  </si>
  <si>
    <t>30130-719</t>
  </si>
  <si>
    <t>Universal Horizontal Cable Manager; 2 RMU; 19"W ; Single-Sided; Black</t>
  </si>
  <si>
    <t>13698-001</t>
  </si>
  <si>
    <t>Duplex Electrical Outlet Box, Zinc</t>
  </si>
  <si>
    <t>13703-701</t>
  </si>
  <si>
    <t>Floor Drilling Template, Black</t>
  </si>
  <si>
    <t>Hilti</t>
  </si>
  <si>
    <t>KWIK BOLT TZ2 WEDGE ANCHOR</t>
  </si>
  <si>
    <t>HILTI KWIK Bolt TZ, ¾” – 5 ½” L.. KWIK BOLT TZ2 WEDGE ANCHOR</t>
  </si>
  <si>
    <t>32697-002</t>
  </si>
  <si>
    <t>Tool-less Bend Radius Kit for Fiber Patch Cords, Pack of 50, Black</t>
  </si>
  <si>
    <t>12293-X19</t>
  </si>
  <si>
    <t>Heavy Duty Shelf for 6” (150 mm) Channel, For 19” Rack</t>
  </si>
  <si>
    <t>#12-24 Cage Nuts and Screws, Pack of 25, Black</t>
  </si>
  <si>
    <t>Coax Jumpers</t>
  </si>
  <si>
    <t>Combiner</t>
  </si>
  <si>
    <t>Microlab</t>
  </si>
  <si>
    <t>CM-680E</t>
  </si>
  <si>
    <t>Hybrid combiner 3x3 4.3-10</t>
  </si>
  <si>
    <t xml:space="preserve">Commscope </t>
  </si>
  <si>
    <t>DC Power Plant</t>
  </si>
  <si>
    <t>Vertiv</t>
  </si>
  <si>
    <t>NetSure 5100 Integrated Power System</t>
  </si>
  <si>
    <t>MicroLab</t>
  </si>
  <si>
    <t>BL-51N</t>
  </si>
  <si>
    <t>Duplexer AWS 2110-2180/1695-17 80MHz 60W -161dBc N-type IP67</t>
  </si>
  <si>
    <t>BL-19N</t>
  </si>
  <si>
    <t>Duplexer PCS 1850-1915/1930-19 95MHz 60W -153dBc N-type IP64</t>
  </si>
  <si>
    <t>SMA Male to N Male Cable Using LMR-200 Coax - 15'</t>
  </si>
  <si>
    <t>SMA Male Right Angle to N Male Cable Using LMR-200 Coax - 15'</t>
  </si>
  <si>
    <t>Westell</t>
  </si>
  <si>
    <t>NPGMT1012</t>
  </si>
  <si>
    <t>100 Amp, Dual Bus, 20A GMT Fuse Panels, 1 RU 19" or 23" rack mount, UL 60950-1</t>
  </si>
  <si>
    <t>Fusion Splicer</t>
  </si>
  <si>
    <t xml:space="preserve">Coax  </t>
  </si>
  <si>
    <t>SYM Technology</t>
  </si>
  <si>
    <t>HC-33-60</t>
  </si>
  <si>
    <t>iV02OMI136-M4</t>
  </si>
  <si>
    <t>Surface Mount Omni MIMO Antenna, 617-5925 MHz 4.3-10 with pigtails. Use port 2 for SISO systems.</t>
  </si>
  <si>
    <t>T-10-UW-43-M</t>
  </si>
  <si>
    <t>Termination Load, 0–6000 MHz, Not for PIM-rated applications</t>
  </si>
  <si>
    <t>Load</t>
  </si>
  <si>
    <t>AL4RPV-50 (MOB)</t>
  </si>
  <si>
    <t>HELIAX® Plenum Rated Air Dielectric Coaxial Cable - Corrugated Aluminum - 1/2 in - Off White PVC Jacket</t>
  </si>
  <si>
    <t>Microlab/FXR</t>
  </si>
  <si>
    <t>DN-54FE</t>
  </si>
  <si>
    <t>Unequal Power Splitter (Tapper), Low PIM &lt;-161 dBc, 4:1 (6 dB), 350-5930 MHz, 500W, 4.3-10 Connectors, IP67,</t>
  </si>
  <si>
    <t>DN-34FE</t>
  </si>
  <si>
    <t xml:space="preserve">Unequal Power Splitter (Tapper), Low PIM &lt;-161 dBc, 2:1 (3 dB), 350-5930 MHz, 500W, 4.3-10 Connectors IP67 </t>
  </si>
  <si>
    <t>D2-83FE</t>
  </si>
  <si>
    <t xml:space="preserve">2-way Tube Style - Reactive Power Divider - Ultra Wideband 617-5925 MHz - 300W - Low PIM &lt;-165 dBc - 4.3-10 Connectors, IP67 </t>
  </si>
  <si>
    <t>DN-84FE</t>
  </si>
  <si>
    <t xml:space="preserve">Unequal Power Splitter (Tapper), Low PIM &lt;-161 dBc, 20:1 (13 dB), 350-5930 MHz, 500W, 4.3-10 Connectors, IP67 </t>
  </si>
  <si>
    <t>DN-64FE</t>
  </si>
  <si>
    <t>Unequal Power Splitter (Tapper), Low PIM &lt;-161 dBc, 6:1 (8 dB), 350-5930 MHz, 500W, 4.3-10 Connectors, IP67,</t>
  </si>
  <si>
    <t>DN-74FE</t>
  </si>
  <si>
    <t>Unequal Power Splitter (Tapper), Low PIM &lt;-161dBc, 10:1 (10 dB), 350-5930 MHz, 500W, 4.3-10 Connectors, IP67</t>
  </si>
  <si>
    <t>DN-44FE</t>
  </si>
  <si>
    <t xml:space="preserve">Unequal Power Splitter (Tapper), Low PIM &lt;-161 dBc, 3:1 (4.8 dB), 350-5930 MHz, 500W, 4.3-10 Connectors, IP67 </t>
  </si>
  <si>
    <t>Hybrid Matrix</t>
  </si>
  <si>
    <t>Sym Technology</t>
  </si>
  <si>
    <t>CSC-TMO-PAB</t>
  </si>
  <si>
    <t>CSC Triplexer 1U Rack Mountable</t>
  </si>
  <si>
    <t>Filter</t>
  </si>
  <si>
    <t>iBIU_AC</t>
  </si>
  <si>
    <t>ALLIANCE iBIU Chassis, AC Version Includes: iMCPU, iMPSU_AC</t>
  </si>
  <si>
    <t>SOLiD US</t>
  </si>
  <si>
    <t>iBIU_B</t>
  </si>
  <si>
    <t>ALLIANCE Input module, blank</t>
  </si>
  <si>
    <t>iMCDU</t>
  </si>
  <si>
    <t>ALLIANCE Main Combiner/Divider Unit that is connected to the iBIU chassis to operate as the main iBIU</t>
  </si>
  <si>
    <t>iMDBU_1900P</t>
  </si>
  <si>
    <t>ALLIANCE 1900 MHz Input Module for the iBIU</t>
  </si>
  <si>
    <t>iMDBU_AWS13</t>
  </si>
  <si>
    <t>ALLIANCE 2100MHz (AWS 1+3) Input Module for the iBIU</t>
  </si>
  <si>
    <t>iMDBU_23_25_FB</t>
  </si>
  <si>
    <t>ALLIANCE Input module, 2300 WCS, 2500MHz TDD  FB</t>
  </si>
  <si>
    <t>HPOI_23_25</t>
  </si>
  <si>
    <t>ALLIANCE High Power POI Module (20W), 2300MHz WCS, 2500MHz TDD, 4 Ports</t>
  </si>
  <si>
    <t>HLPOI_1900P</t>
  </si>
  <si>
    <t>ALLIANCE Hybrid POI Module, 1900 MHz PCS, 2 Ports high power 20W, and 2 Ports low power 100mW</t>
  </si>
  <si>
    <t>HLPOI_AWS13</t>
  </si>
  <si>
    <t>ALLIANCE Hybrid POI Module, AWS1 &amp;3, 2 Ports high power 20W, and 2 Ports low power 100mW</t>
  </si>
  <si>
    <t>LPOI_EB</t>
  </si>
  <si>
    <t>Low Power Extender Board, +10dBm max, Simplex only, 136MHz to 2700Mhz</t>
  </si>
  <si>
    <t>Media Converter</t>
  </si>
  <si>
    <t>eROU_7191725L1_N_R</t>
  </si>
  <si>
    <t>edgeROU, Main, 700/1900/AWS13/2500, Lambda 1, Internal Antenna</t>
  </si>
  <si>
    <t>Solid</t>
  </si>
  <si>
    <t>DN-94FE</t>
  </si>
  <si>
    <t xml:space="preserve">Unequal Power Splitter (Tapper), Low PIM &lt;-161 dBc, 30:1 (15 dB), 350-5930 MHz, 500W, 4.3-10 connectors, IP67  </t>
  </si>
  <si>
    <t>LDF4-50A</t>
  </si>
  <si>
    <t>LDF4-50A, HELIAX® Low Density Foam Coaxial Cable, corrugated copper, 1/2 in, black PE jacket (outdoor)</t>
  </si>
  <si>
    <t>Cooper Bussmann</t>
  </si>
  <si>
    <t>BK/GMT-10A</t>
  </si>
  <si>
    <t>Fuse, GMT, 10 AMP/ 10 pack</t>
  </si>
  <si>
    <t>Excess cable removal</t>
  </si>
  <si>
    <t>Install Fiber Splice Trays</t>
  </si>
  <si>
    <t>Advanced RF Technologies</t>
  </si>
  <si>
    <t>ADXV-R-CHC-U</t>
  </si>
  <si>
    <t>ADXV: Low PIM Universal Channel Combiner</t>
  </si>
  <si>
    <t>Network Equipment</t>
  </si>
  <si>
    <t>SDR-NMS</t>
  </si>
  <si>
    <t>[SDR]-NMS; SDR Network Management System w/ Chassis- Support SDR-24/30/33 modules.</t>
  </si>
  <si>
    <t>AD-PA-1695-4200-D</t>
  </si>
  <si>
    <t>High-Isolation Donor Antenna / 1695 MHz - 4200 MHz / 17.8 - 19.6 dBi / 20.6 - 13.4 degree beam</t>
  </si>
  <si>
    <t>BK-3001E</t>
  </si>
  <si>
    <t xml:space="preserve">Triplexer, PCS/AWS1-3/2.5 BRS, 1850-2000/1695-1780 &amp; 2110-2200/2496-2690 MHz, 100W, 4.3-10 Connectors, Low PIM &lt;-161dBc, IP67 </t>
  </si>
  <si>
    <t>ICA12-50JPLW</t>
  </si>
  <si>
    <t>ClearFillLine - 1/2in Low Loss Air Dialectric Cable - Plenum Rated/ Indoor/ Outdoor Usage/ Color White</t>
  </si>
  <si>
    <t>CMAX-DMF2-43-WI53</t>
  </si>
  <si>
    <t>Low PIM Directional MIMO Antenna 4G/5G/C-Band, 698–960 MHz,1695–2700 MHz and 3300-4200MHz</t>
  </si>
  <si>
    <t>HCA78-50JPL-A11</t>
  </si>
  <si>
    <t>HELIFLEX - 7/8in Air Dielectric Coaxial Cable - Plenum Rated/ Indoor Usage Only</t>
  </si>
  <si>
    <t>Install adapter - 6 port</t>
  </si>
  <si>
    <t>Install UPS - stand alone AC powered</t>
  </si>
  <si>
    <t>Times Microwave Systems</t>
  </si>
  <si>
    <t>SPF25043M43M3.0F</t>
  </si>
  <si>
    <t>3ft - 50 Ohm Low Loss, Low PIM Fire Retardant Coaxial Jumper Cable</t>
  </si>
  <si>
    <t>CA-84N</t>
  </si>
  <si>
    <t>Microlab CA-84N 700-2700 MHz Hybrid Coupler N (CA-84N)</t>
  </si>
  <si>
    <t>SP104-15</t>
  </si>
  <si>
    <t>Geist - SP104-15 Rack Mount Power Strip - Graybar</t>
  </si>
  <si>
    <t>Graybar</t>
  </si>
  <si>
    <t>Soft Hepa Cart</t>
  </si>
  <si>
    <t>Truck</t>
  </si>
  <si>
    <t>e911 Test</t>
  </si>
  <si>
    <t>Respirators</t>
  </si>
  <si>
    <t>Masks</t>
  </si>
  <si>
    <t>Shoe Covers</t>
  </si>
  <si>
    <t>Head net</t>
  </si>
  <si>
    <t>Storage</t>
  </si>
  <si>
    <t xml:space="preserve">Scaffolding Platform </t>
  </si>
  <si>
    <t>Rip-Tie Velcro 1 x 75' Roll Black Wrap Strap</t>
  </si>
  <si>
    <t>Reinforced Poly Sheeting - 6 Mil, 12' x 100'</t>
  </si>
  <si>
    <t>Containment</t>
  </si>
  <si>
    <t>Tape Case of 12</t>
  </si>
  <si>
    <t xml:space="preserve">DuPont™ Tyvek® Deluxe Coverall </t>
  </si>
  <si>
    <t>Data collection</t>
  </si>
  <si>
    <t>Scissor lift</t>
  </si>
  <si>
    <t>Parking</t>
  </si>
  <si>
    <t>Disinfection Wipes</t>
  </si>
  <si>
    <t>ACT Quote / sqft</t>
  </si>
  <si>
    <t>ACT Cost /sqft</t>
  </si>
  <si>
    <t>ACT Quote + Active / sqft</t>
  </si>
  <si>
    <t>ACT Quote+Active+Tax / sqft</t>
  </si>
  <si>
    <t>ACT RF - Engineer</t>
  </si>
  <si>
    <t>ACT RF - Laborer</t>
  </si>
  <si>
    <t>ACT PC</t>
  </si>
  <si>
    <t>ACT Tech - Technician</t>
  </si>
  <si>
    <t>ACT Tech - CM</t>
  </si>
  <si>
    <t>ACT Underground - Laborer</t>
  </si>
  <si>
    <t>ACT Underground - Lead</t>
  </si>
  <si>
    <t>ACT Underground - Foreman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</si>
</sst>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7" formatCode="_(&quot;$&quot;* #,##0.0000_);_(&quot;$&quot;* \(#,##0.0000\);_(&quot;$&quot;* &quot;-&quot;??_);_(@_)"/>
    <numFmt numFmtId="168" formatCode="&quot;$&quot;#,##0.00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191919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indexed="21"/>
      <name val="Arial"/>
      <family val="2"/>
    </font>
    <font>
      <b/>
      <i/>
      <sz val="12"/>
      <color indexed="8"/>
      <name val="Arial"/>
      <family val="2"/>
    </font>
    <font>
      <sz val="9"/>
      <color indexed="81"/>
      <name val="Tahoma"/>
      <family val="2"/>
    </font>
    <font>
      <b/>
      <sz val="11"/>
      <name val="Arial"/>
      <family val="2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Arial"/>
      <family val="2"/>
    </font>
    <font>
      <u/>
      <sz val="10"/>
      <color rgb="FFFF9900"/>
      <name val="Arial"/>
      <family val="2"/>
    </font>
    <font>
      <b/>
      <sz val="9"/>
      <color indexed="81"/>
      <name val="Tahoma"/>
      <family val="2"/>
    </font>
    <font>
      <sz val="10"/>
      <color rgb="FF33333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1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1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666666"/>
      </left>
      <right/>
      <top style="thin">
        <color rgb="FF666666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</borders>
  <cellStyleXfs count="21">
    <xf numFmtId="0" fontId="0" fillId="0" borderId="0"/>
    <xf numFmtId="44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3" fillId="0" borderId="0"/>
    <xf numFmtId="0" fontId="11" fillId="0" borderId="0"/>
    <xf numFmtId="0" fontId="10" fillId="0" borderId="0"/>
    <xf numFmtId="0" fontId="13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8" fillId="0" borderId="0"/>
    <xf numFmtId="0" fontId="30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440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/>
    <xf numFmtId="1" fontId="0" fillId="0" borderId="0" xfId="0" applyNumberFormat="1"/>
    <xf numFmtId="0" fontId="13" fillId="0" borderId="0" xfId="8"/>
    <xf numFmtId="2" fontId="0" fillId="0" borderId="0" xfId="5" applyNumberFormat="1" applyFont="1" applyFill="1" applyBorder="1"/>
    <xf numFmtId="44" fontId="0" fillId="0" borderId="0" xfId="0" applyNumberFormat="1"/>
    <xf numFmtId="44" fontId="0" fillId="5" borderId="1" xfId="4" applyFont="1" applyFill="1" applyBorder="1" applyProtection="1">
      <protection locked="0"/>
    </xf>
    <xf numFmtId="0" fontId="0" fillId="7" borderId="0" xfId="0" applyFill="1"/>
    <xf numFmtId="44" fontId="0" fillId="5" borderId="1" xfId="4" applyFont="1" applyFill="1" applyBorder="1"/>
    <xf numFmtId="0" fontId="0" fillId="7" borderId="1" xfId="0" applyFill="1" applyBorder="1"/>
    <xf numFmtId="2" fontId="0" fillId="5" borderId="1" xfId="0" applyNumberFormat="1" applyFill="1" applyBorder="1"/>
    <xf numFmtId="44" fontId="12" fillId="5" borderId="21" xfId="4" applyFont="1" applyFill="1" applyBorder="1"/>
    <xf numFmtId="39" fontId="12" fillId="5" borderId="21" xfId="4" applyNumberFormat="1" applyFont="1" applyFill="1" applyBorder="1"/>
    <xf numFmtId="0" fontId="20" fillId="4" borderId="14" xfId="10" applyFont="1" applyFill="1" applyBorder="1" applyAlignment="1" applyProtection="1">
      <alignment horizontal="right" wrapText="1"/>
      <protection locked="0"/>
    </xf>
    <xf numFmtId="0" fontId="20" fillId="4" borderId="1" xfId="10" applyFont="1" applyFill="1" applyBorder="1" applyAlignment="1" applyProtection="1">
      <alignment horizontal="right" wrapText="1"/>
      <protection locked="0"/>
    </xf>
    <xf numFmtId="0" fontId="0" fillId="4" borderId="2" xfId="0" applyFill="1" applyBorder="1" applyAlignment="1" applyProtection="1">
      <alignment horizontal="center"/>
      <protection locked="0"/>
    </xf>
    <xf numFmtId="165" fontId="0" fillId="4" borderId="1" xfId="0" applyNumberFormat="1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4" borderId="25" xfId="0" applyFill="1" applyBorder="1" applyAlignment="1" applyProtection="1">
      <alignment horizontal="center"/>
      <protection locked="0"/>
    </xf>
    <xf numFmtId="0" fontId="0" fillId="4" borderId="23" xfId="0" applyFill="1" applyBorder="1" applyAlignment="1" applyProtection="1">
      <alignment horizontal="center"/>
      <protection locked="0"/>
    </xf>
    <xf numFmtId="0" fontId="0" fillId="4" borderId="15" xfId="0" applyFill="1" applyBorder="1" applyAlignment="1" applyProtection="1">
      <alignment horizontal="center"/>
      <protection locked="0"/>
    </xf>
    <xf numFmtId="44" fontId="0" fillId="5" borderId="6" xfId="4" applyFont="1" applyFill="1" applyBorder="1"/>
    <xf numFmtId="44" fontId="12" fillId="5" borderId="4" xfId="4" applyFont="1" applyFill="1" applyBorder="1"/>
    <xf numFmtId="2" fontId="0" fillId="5" borderId="6" xfId="0" applyNumberFormat="1" applyFill="1" applyBorder="1"/>
    <xf numFmtId="39" fontId="12" fillId="5" borderId="4" xfId="4" applyNumberFormat="1" applyFont="1" applyFill="1" applyBorder="1"/>
    <xf numFmtId="0" fontId="0" fillId="8" borderId="0" xfId="0" applyFill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8" fillId="4" borderId="1" xfId="0" applyFont="1" applyFill="1" applyBorder="1" applyAlignment="1" applyProtection="1">
      <alignment horizontal="right" vertical="top" wrapText="1"/>
      <protection locked="0"/>
    </xf>
    <xf numFmtId="0" fontId="9" fillId="8" borderId="10" xfId="10" applyFont="1" applyFill="1" applyBorder="1"/>
    <xf numFmtId="0" fontId="10" fillId="0" borderId="0" xfId="10"/>
    <xf numFmtId="0" fontId="22" fillId="6" borderId="16" xfId="11" applyFont="1" applyFill="1" applyBorder="1" applyAlignment="1">
      <alignment horizontal="left" vertical="center" readingOrder="1"/>
    </xf>
    <xf numFmtId="44" fontId="20" fillId="5" borderId="1" xfId="4" applyFont="1" applyFill="1" applyBorder="1" applyProtection="1"/>
    <xf numFmtId="39" fontId="9" fillId="5" borderId="1" xfId="10" applyNumberFormat="1" applyFont="1" applyFill="1" applyBorder="1"/>
    <xf numFmtId="44" fontId="9" fillId="5" borderId="14" xfId="10" applyNumberFormat="1" applyFont="1" applyFill="1" applyBorder="1"/>
    <xf numFmtId="0" fontId="9" fillId="5" borderId="1" xfId="10" applyFont="1" applyFill="1" applyBorder="1" applyAlignment="1">
      <alignment horizontal="center"/>
    </xf>
    <xf numFmtId="2" fontId="9" fillId="5" borderId="1" xfId="10" applyNumberFormat="1" applyFont="1" applyFill="1" applyBorder="1" applyAlignment="1">
      <alignment horizontal="center"/>
    </xf>
    <xf numFmtId="164" fontId="9" fillId="5" borderId="1" xfId="10" applyNumberFormat="1" applyFont="1" applyFill="1" applyBorder="1" applyAlignment="1">
      <alignment horizontal="center"/>
    </xf>
    <xf numFmtId="42" fontId="9" fillId="0" borderId="1" xfId="10" applyNumberFormat="1" applyFont="1" applyBorder="1"/>
    <xf numFmtId="44" fontId="20" fillId="5" borderId="6" xfId="4" applyFont="1" applyFill="1" applyBorder="1" applyProtection="1"/>
    <xf numFmtId="0" fontId="22" fillId="6" borderId="23" xfId="11" applyFont="1" applyFill="1" applyBorder="1" applyAlignment="1">
      <alignment horizontal="left" vertical="center" readingOrder="1"/>
    </xf>
    <xf numFmtId="44" fontId="20" fillId="5" borderId="13" xfId="4" applyFont="1" applyFill="1" applyBorder="1" applyProtection="1"/>
    <xf numFmtId="39" fontId="9" fillId="5" borderId="13" xfId="10" applyNumberFormat="1" applyFont="1" applyFill="1" applyBorder="1"/>
    <xf numFmtId="44" fontId="9" fillId="5" borderId="24" xfId="10" applyNumberFormat="1" applyFont="1" applyFill="1" applyBorder="1"/>
    <xf numFmtId="44" fontId="9" fillId="5" borderId="51" xfId="10" applyNumberFormat="1" applyFont="1" applyFill="1" applyBorder="1"/>
    <xf numFmtId="0" fontId="9" fillId="8" borderId="52" xfId="10" applyFont="1" applyFill="1" applyBorder="1"/>
    <xf numFmtId="0" fontId="9" fillId="8" borderId="0" xfId="10" applyFont="1" applyFill="1"/>
    <xf numFmtId="0" fontId="9" fillId="8" borderId="20" xfId="10" applyFont="1" applyFill="1" applyBorder="1"/>
    <xf numFmtId="0" fontId="9" fillId="8" borderId="26" xfId="10" applyFont="1" applyFill="1" applyBorder="1"/>
    <xf numFmtId="0" fontId="22" fillId="6" borderId="2" xfId="11" applyFont="1" applyFill="1" applyBorder="1" applyAlignment="1">
      <alignment horizontal="left" vertical="center" readingOrder="1"/>
    </xf>
    <xf numFmtId="2" fontId="9" fillId="5" borderId="3" xfId="10" applyNumberFormat="1" applyFont="1" applyFill="1" applyBorder="1"/>
    <xf numFmtId="0" fontId="9" fillId="0" borderId="0" xfId="10" applyFont="1"/>
    <xf numFmtId="2" fontId="9" fillId="5" borderId="14" xfId="10" applyNumberFormat="1" applyFont="1" applyFill="1" applyBorder="1"/>
    <xf numFmtId="44" fontId="20" fillId="5" borderId="14" xfId="4" applyFont="1" applyFill="1" applyBorder="1" applyProtection="1"/>
    <xf numFmtId="0" fontId="22" fillId="6" borderId="15" xfId="11" applyFont="1" applyFill="1" applyBorder="1" applyAlignment="1">
      <alignment horizontal="left" vertical="center" readingOrder="1"/>
    </xf>
    <xf numFmtId="2" fontId="9" fillId="5" borderId="17" xfId="10" applyNumberFormat="1" applyFont="1" applyFill="1" applyBorder="1"/>
    <xf numFmtId="44" fontId="20" fillId="4" borderId="1" xfId="4" applyFont="1" applyFill="1" applyBorder="1" applyProtection="1">
      <protection locked="0"/>
    </xf>
    <xf numFmtId="9" fontId="9" fillId="4" borderId="1" xfId="2" applyFont="1" applyFill="1" applyBorder="1" applyAlignment="1" applyProtection="1">
      <alignment horizontal="center"/>
      <protection locked="0"/>
    </xf>
    <xf numFmtId="9" fontId="9" fillId="4" borderId="6" xfId="2" applyFont="1" applyFill="1" applyBorder="1" applyAlignment="1" applyProtection="1">
      <alignment horizontal="center"/>
      <protection locked="0"/>
    </xf>
    <xf numFmtId="9" fontId="9" fillId="4" borderId="13" xfId="2" applyFont="1" applyFill="1" applyBorder="1" applyAlignment="1" applyProtection="1">
      <alignment horizontal="center"/>
      <protection locked="0"/>
    </xf>
    <xf numFmtId="44" fontId="20" fillId="4" borderId="13" xfId="4" applyFont="1" applyFill="1" applyBorder="1" applyProtection="1">
      <protection locked="0"/>
    </xf>
    <xf numFmtId="0" fontId="13" fillId="5" borderId="1" xfId="0" applyFont="1" applyFill="1" applyBorder="1"/>
    <xf numFmtId="165" fontId="0" fillId="5" borderId="1" xfId="0" applyNumberFormat="1" applyFill="1" applyBorder="1" applyAlignment="1">
      <alignment horizontal="center"/>
    </xf>
    <xf numFmtId="44" fontId="0" fillId="5" borderId="1" xfId="4" applyFont="1" applyFill="1" applyBorder="1" applyProtection="1"/>
    <xf numFmtId="10" fontId="0" fillId="5" borderId="1" xfId="2" applyNumberFormat="1" applyFont="1" applyFill="1" applyBorder="1" applyProtection="1"/>
    <xf numFmtId="44" fontId="12" fillId="5" borderId="4" xfId="4" applyFont="1" applyFill="1" applyBorder="1" applyProtection="1"/>
    <xf numFmtId="39" fontId="12" fillId="5" borderId="4" xfId="4" applyNumberFormat="1" applyFont="1" applyFill="1" applyBorder="1" applyProtection="1"/>
    <xf numFmtId="44" fontId="12" fillId="5" borderId="21" xfId="4" applyFont="1" applyFill="1" applyBorder="1" applyProtection="1"/>
    <xf numFmtId="39" fontId="12" fillId="5" borderId="21" xfId="4" applyNumberFormat="1" applyFont="1" applyFill="1" applyBorder="1" applyProtection="1"/>
    <xf numFmtId="0" fontId="13" fillId="4" borderId="1" xfId="0" applyFont="1" applyFill="1" applyBorder="1" applyProtection="1">
      <protection locked="0"/>
    </xf>
    <xf numFmtId="0" fontId="19" fillId="8" borderId="11" xfId="0" applyFont="1" applyFill="1" applyBorder="1"/>
    <xf numFmtId="44" fontId="0" fillId="5" borderId="16" xfId="1" applyFont="1" applyFill="1" applyBorder="1" applyProtection="1"/>
    <xf numFmtId="10" fontId="0" fillId="5" borderId="14" xfId="2" applyNumberFormat="1" applyFont="1" applyFill="1" applyBorder="1" applyProtection="1"/>
    <xf numFmtId="44" fontId="0" fillId="5" borderId="25" xfId="1" applyFont="1" applyFill="1" applyBorder="1" applyProtection="1"/>
    <xf numFmtId="10" fontId="0" fillId="5" borderId="51" xfId="2" applyNumberFormat="1" applyFont="1" applyFill="1" applyBorder="1" applyProtection="1"/>
    <xf numFmtId="44" fontId="0" fillId="5" borderId="18" xfId="1" applyFont="1" applyFill="1" applyBorder="1" applyProtection="1"/>
    <xf numFmtId="10" fontId="0" fillId="5" borderId="9" xfId="2" applyNumberFormat="1" applyFont="1" applyFill="1" applyBorder="1" applyProtection="1"/>
    <xf numFmtId="44" fontId="0" fillId="5" borderId="21" xfId="1" applyFont="1" applyFill="1" applyBorder="1" applyProtection="1"/>
    <xf numFmtId="10" fontId="0" fillId="5" borderId="17" xfId="2" applyNumberFormat="1" applyFont="1" applyFill="1" applyBorder="1" applyProtection="1"/>
    <xf numFmtId="4" fontId="0" fillId="8" borderId="0" xfId="0" applyNumberFormat="1" applyFill="1"/>
    <xf numFmtId="49" fontId="0" fillId="0" borderId="0" xfId="0" applyNumberFormat="1"/>
    <xf numFmtId="9" fontId="20" fillId="4" borderId="33" xfId="2" applyFont="1" applyFill="1" applyBorder="1" applyAlignment="1" applyProtection="1">
      <alignment horizontal="right" wrapText="1"/>
      <protection locked="0"/>
    </xf>
    <xf numFmtId="9" fontId="0" fillId="5" borderId="12" xfId="17" applyFont="1" applyFill="1" applyBorder="1" applyProtection="1"/>
    <xf numFmtId="0" fontId="16" fillId="0" borderId="33" xfId="14" applyNumberFormat="1" applyFill="1" applyBorder="1" applyAlignment="1" applyProtection="1">
      <alignment horizontal="left" readingOrder="1"/>
    </xf>
    <xf numFmtId="10" fontId="29" fillId="4" borderId="9" xfId="17" applyNumberFormat="1" applyFont="1" applyFill="1" applyBorder="1" applyAlignment="1" applyProtection="1">
      <alignment horizontal="right" vertical="center" readingOrder="1"/>
      <protection locked="0"/>
    </xf>
    <xf numFmtId="0" fontId="16" fillId="0" borderId="37" xfId="14" applyNumberFormat="1" applyFill="1" applyBorder="1" applyAlignment="1" applyProtection="1">
      <alignment horizontal="left" readingOrder="1"/>
    </xf>
    <xf numFmtId="3" fontId="29" fillId="4" borderId="50" xfId="17" applyNumberFormat="1" applyFont="1" applyFill="1" applyBorder="1" applyAlignment="1" applyProtection="1">
      <alignment horizontal="right" vertical="center" readingOrder="1"/>
      <protection locked="0"/>
    </xf>
    <xf numFmtId="10" fontId="34" fillId="5" borderId="22" xfId="17" applyNumberFormat="1" applyFont="1" applyFill="1" applyBorder="1" applyAlignment="1" applyProtection="1">
      <alignment horizontal="right" vertical="center" readingOrder="1"/>
    </xf>
    <xf numFmtId="3" fontId="34" fillId="4" borderId="24" xfId="15" applyNumberFormat="1" applyFont="1" applyFill="1" applyBorder="1" applyAlignment="1" applyProtection="1">
      <alignment horizontal="right" vertical="center" readingOrder="1"/>
      <protection locked="0"/>
    </xf>
    <xf numFmtId="3" fontId="34" fillId="4" borderId="3" xfId="15" applyNumberFormat="1" applyFont="1" applyFill="1" applyBorder="1" applyAlignment="1" applyProtection="1">
      <alignment horizontal="right" vertical="center" readingOrder="1"/>
      <protection locked="0"/>
    </xf>
    <xf numFmtId="10" fontId="34" fillId="4" borderId="3" xfId="17" applyNumberFormat="1" applyFont="1" applyFill="1" applyBorder="1" applyAlignment="1" applyProtection="1">
      <alignment horizontal="right" vertical="center" readingOrder="1"/>
      <protection locked="0"/>
    </xf>
    <xf numFmtId="0" fontId="25" fillId="0" borderId="0" xfId="0" applyFont="1" applyAlignment="1">
      <alignment horizontal="center"/>
    </xf>
    <xf numFmtId="0" fontId="20" fillId="0" borderId="0" xfId="0" applyFont="1"/>
    <xf numFmtId="2" fontId="20" fillId="0" borderId="0" xfId="0" applyNumberFormat="1" applyFont="1"/>
    <xf numFmtId="0" fontId="28" fillId="5" borderId="4" xfId="0" applyFont="1" applyFill="1" applyBorder="1" applyAlignment="1">
      <alignment horizontal="right" vertical="center"/>
    </xf>
    <xf numFmtId="14" fontId="20" fillId="0" borderId="0" xfId="0" applyNumberFormat="1" applyFont="1" applyAlignment="1">
      <alignment horizontal="center"/>
    </xf>
    <xf numFmtId="4" fontId="20" fillId="0" borderId="0" xfId="0" applyNumberFormat="1" applyFont="1"/>
    <xf numFmtId="4" fontId="25" fillId="0" borderId="0" xfId="0" applyNumberFormat="1" applyFont="1" applyAlignment="1">
      <alignment horizontal="center"/>
    </xf>
    <xf numFmtId="9" fontId="20" fillId="0" borderId="16" xfId="0" applyNumberFormat="1" applyFont="1" applyBorder="1"/>
    <xf numFmtId="2" fontId="20" fillId="0" borderId="14" xfId="0" applyNumberFormat="1" applyFont="1" applyBorder="1"/>
    <xf numFmtId="44" fontId="20" fillId="5" borderId="1" xfId="0" applyNumberFormat="1" applyFont="1" applyFill="1" applyBorder="1"/>
    <xf numFmtId="0" fontId="20" fillId="8" borderId="0" xfId="0" applyFont="1" applyFill="1"/>
    <xf numFmtId="0" fontId="20" fillId="8" borderId="0" xfId="0" applyFont="1" applyFill="1" applyAlignment="1">
      <alignment horizontal="center"/>
    </xf>
    <xf numFmtId="44" fontId="25" fillId="5" borderId="21" xfId="0" applyNumberFormat="1" applyFont="1" applyFill="1" applyBorder="1"/>
    <xf numFmtId="4" fontId="20" fillId="0" borderId="0" xfId="0" applyNumberFormat="1" applyFont="1" applyAlignment="1">
      <alignment horizontal="right"/>
    </xf>
    <xf numFmtId="0" fontId="20" fillId="8" borderId="1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5" fillId="0" borderId="0" xfId="0" applyFont="1"/>
    <xf numFmtId="0" fontId="20" fillId="4" borderId="1" xfId="0" applyFont="1" applyFill="1" applyBorder="1" applyAlignment="1" applyProtection="1">
      <alignment horizontal="center"/>
      <protection locked="0"/>
    </xf>
    <xf numFmtId="44" fontId="20" fillId="4" borderId="1" xfId="0" applyNumberFormat="1" applyFont="1" applyFill="1" applyBorder="1" applyProtection="1">
      <protection locked="0"/>
    </xf>
    <xf numFmtId="0" fontId="19" fillId="9" borderId="16" xfId="11" applyFont="1" applyFill="1" applyBorder="1" applyAlignment="1" applyProtection="1">
      <alignment horizontal="left" vertical="center" readingOrder="1"/>
      <protection locked="0"/>
    </xf>
    <xf numFmtId="0" fontId="19" fillId="9" borderId="15" xfId="11" applyFont="1" applyFill="1" applyBorder="1" applyAlignment="1" applyProtection="1">
      <alignment horizontal="left" vertical="center" readingOrder="1"/>
      <protection locked="0"/>
    </xf>
    <xf numFmtId="0" fontId="20" fillId="4" borderId="6" xfId="0" applyFont="1" applyFill="1" applyBorder="1" applyAlignment="1" applyProtection="1">
      <alignment horizontal="center"/>
      <protection locked="0"/>
    </xf>
    <xf numFmtId="44" fontId="21" fillId="3" borderId="4" xfId="0" applyNumberFormat="1" applyFont="1" applyFill="1" applyBorder="1"/>
    <xf numFmtId="39" fontId="21" fillId="3" borderId="4" xfId="0" applyNumberFormat="1" applyFont="1" applyFill="1" applyBorder="1"/>
    <xf numFmtId="10" fontId="21" fillId="3" borderId="4" xfId="0" applyNumberFormat="1" applyFont="1" applyFill="1" applyBorder="1"/>
    <xf numFmtId="2" fontId="13" fillId="0" borderId="0" xfId="5" applyNumberFormat="1" applyFont="1" applyFill="1" applyBorder="1"/>
    <xf numFmtId="0" fontId="13" fillId="5" borderId="49" xfId="0" applyFont="1" applyFill="1" applyBorder="1"/>
    <xf numFmtId="165" fontId="0" fillId="5" borderId="50" xfId="0" applyNumberFormat="1" applyFill="1" applyBorder="1" applyAlignment="1">
      <alignment horizontal="center"/>
    </xf>
    <xf numFmtId="3" fontId="0" fillId="5" borderId="50" xfId="0" applyNumberForma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13" fillId="5" borderId="6" xfId="0" applyFont="1" applyFill="1" applyBorder="1"/>
    <xf numFmtId="165" fontId="0" fillId="5" borderId="6" xfId="0" applyNumberFormat="1" applyFill="1" applyBorder="1" applyAlignment="1">
      <alignment horizontal="center"/>
    </xf>
    <xf numFmtId="1" fontId="0" fillId="5" borderId="6" xfId="0" applyNumberFormat="1" applyFill="1" applyBorder="1" applyAlignment="1">
      <alignment horizontal="center"/>
    </xf>
    <xf numFmtId="0" fontId="13" fillId="5" borderId="13" xfId="0" applyFont="1" applyFill="1" applyBorder="1"/>
    <xf numFmtId="165" fontId="0" fillId="5" borderId="13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22" xfId="0" applyFont="1" applyFill="1" applyBorder="1"/>
    <xf numFmtId="165" fontId="0" fillId="5" borderId="22" xfId="0" applyNumberFormat="1" applyFill="1" applyBorder="1" applyAlignment="1">
      <alignment horizontal="center"/>
    </xf>
    <xf numFmtId="0" fontId="13" fillId="5" borderId="22" xfId="0" applyFont="1" applyFill="1" applyBorder="1" applyAlignment="1">
      <alignment horizontal="center"/>
    </xf>
    <xf numFmtId="0" fontId="22" fillId="6" borderId="18" xfId="11" applyFont="1" applyFill="1" applyBorder="1" applyAlignment="1">
      <alignment horizontal="right" vertical="center" readingOrder="1"/>
    </xf>
    <xf numFmtId="2" fontId="9" fillId="5" borderId="9" xfId="10" applyNumberFormat="1" applyFont="1" applyFill="1" applyBorder="1"/>
    <xf numFmtId="0" fontId="7" fillId="0" borderId="0" xfId="10" applyFont="1"/>
    <xf numFmtId="39" fontId="19" fillId="3" borderId="4" xfId="10" applyNumberFormat="1" applyFont="1" applyFill="1" applyBorder="1"/>
    <xf numFmtId="44" fontId="19" fillId="3" borderId="4" xfId="10" applyNumberFormat="1" applyFont="1" applyFill="1" applyBorder="1"/>
    <xf numFmtId="10" fontId="29" fillId="0" borderId="9" xfId="17" applyNumberFormat="1" applyFont="1" applyFill="1" applyBorder="1" applyAlignment="1" applyProtection="1">
      <alignment horizontal="right" vertical="center" readingOrder="1"/>
    </xf>
    <xf numFmtId="10" fontId="29" fillId="4" borderId="42" xfId="17" applyNumberFormat="1" applyFont="1" applyFill="1" applyBorder="1" applyAlignment="1" applyProtection="1">
      <alignment horizontal="right" vertical="center" readingOrder="1"/>
      <protection locked="0"/>
    </xf>
    <xf numFmtId="10" fontId="29" fillId="0" borderId="42" xfId="17" applyNumberFormat="1" applyFont="1" applyFill="1" applyBorder="1" applyAlignment="1" applyProtection="1">
      <alignment horizontal="right" vertical="center" readingOrder="1"/>
    </xf>
    <xf numFmtId="0" fontId="38" fillId="0" borderId="36" xfId="14" applyNumberFormat="1" applyFont="1" applyFill="1" applyBorder="1" applyAlignment="1" applyProtection="1">
      <alignment horizontal="left" readingOrder="1"/>
    </xf>
    <xf numFmtId="0" fontId="38" fillId="0" borderId="33" xfId="14" applyNumberFormat="1" applyFont="1" applyFill="1" applyBorder="1" applyAlignment="1" applyProtection="1">
      <alignment horizontal="left" readingOrder="1"/>
    </xf>
    <xf numFmtId="0" fontId="38" fillId="0" borderId="37" xfId="14" applyNumberFormat="1" applyFont="1" applyFill="1" applyBorder="1" applyAlignment="1" applyProtection="1">
      <alignment horizontal="left" readingOrder="1"/>
    </xf>
    <xf numFmtId="0" fontId="38" fillId="0" borderId="30" xfId="14" applyNumberFormat="1" applyFont="1" applyFill="1" applyBorder="1" applyAlignment="1" applyProtection="1">
      <alignment horizontal="left" readingOrder="1"/>
    </xf>
    <xf numFmtId="0" fontId="16" fillId="0" borderId="31" xfId="14" applyNumberFormat="1" applyFill="1" applyBorder="1" applyAlignment="1" applyProtection="1">
      <alignment horizontal="left" readingOrder="1"/>
    </xf>
    <xf numFmtId="10" fontId="26" fillId="4" borderId="28" xfId="17" applyNumberFormat="1" applyFont="1" applyFill="1" applyBorder="1" applyAlignment="1" applyProtection="1">
      <alignment horizontal="right" vertical="center" readingOrder="1"/>
      <protection locked="0"/>
    </xf>
    <xf numFmtId="10" fontId="34" fillId="5" borderId="50" xfId="17" applyNumberFormat="1" applyFont="1" applyFill="1" applyBorder="1" applyAlignment="1" applyProtection="1">
      <alignment horizontal="right" vertical="center" readingOrder="1"/>
    </xf>
    <xf numFmtId="0" fontId="16" fillId="0" borderId="27" xfId="14" applyNumberFormat="1" applyFill="1" applyBorder="1" applyAlignment="1" applyProtection="1">
      <alignment horizontal="left" readingOrder="1"/>
    </xf>
    <xf numFmtId="10" fontId="29" fillId="4" borderId="59" xfId="2" applyNumberFormat="1" applyFont="1" applyFill="1" applyBorder="1" applyAlignment="1" applyProtection="1">
      <alignment horizontal="right" vertical="center" readingOrder="1"/>
      <protection locked="0"/>
    </xf>
    <xf numFmtId="0" fontId="19" fillId="5" borderId="0" xfId="15" applyFont="1" applyFill="1" applyAlignment="1">
      <alignment horizontal="center" vertical="center" textRotation="255"/>
    </xf>
    <xf numFmtId="0" fontId="8" fillId="0" borderId="0" xfId="15"/>
    <xf numFmtId="0" fontId="29" fillId="0" borderId="2" xfId="15" applyFont="1" applyBorder="1" applyAlignment="1">
      <alignment horizontal="right" readingOrder="1"/>
    </xf>
    <xf numFmtId="3" fontId="29" fillId="5" borderId="50" xfId="15" applyNumberFormat="1" applyFont="1" applyFill="1" applyBorder="1" applyAlignment="1">
      <alignment horizontal="right" vertical="center" readingOrder="1"/>
    </xf>
    <xf numFmtId="3" fontId="29" fillId="0" borderId="50" xfId="15" applyNumberFormat="1" applyFont="1" applyBorder="1" applyAlignment="1">
      <alignment horizontal="right" vertical="center" readingOrder="1"/>
    </xf>
    <xf numFmtId="0" fontId="29" fillId="0" borderId="16" xfId="15" applyFont="1" applyBorder="1" applyAlignment="1">
      <alignment horizontal="right" readingOrder="1"/>
    </xf>
    <xf numFmtId="3" fontId="29" fillId="5" borderId="1" xfId="15" applyNumberFormat="1" applyFont="1" applyFill="1" applyBorder="1" applyAlignment="1">
      <alignment horizontal="right" vertical="center" readingOrder="1"/>
    </xf>
    <xf numFmtId="3" fontId="29" fillId="0" borderId="1" xfId="15" applyNumberFormat="1" applyFont="1" applyBorder="1" applyAlignment="1">
      <alignment horizontal="right" vertical="center" readingOrder="1"/>
    </xf>
    <xf numFmtId="0" fontId="29" fillId="0" borderId="35" xfId="15" applyFont="1" applyBorder="1" applyAlignment="1">
      <alignment horizontal="right" vertical="center" readingOrder="1"/>
    </xf>
    <xf numFmtId="3" fontId="29" fillId="5" borderId="6" xfId="15" applyNumberFormat="1" applyFont="1" applyFill="1" applyBorder="1" applyAlignment="1">
      <alignment horizontal="right" vertical="center" readingOrder="1"/>
    </xf>
    <xf numFmtId="3" fontId="29" fillId="0" borderId="6" xfId="15" applyNumberFormat="1" applyFont="1" applyBorder="1" applyAlignment="1">
      <alignment horizontal="right" vertical="center" readingOrder="1"/>
    </xf>
    <xf numFmtId="0" fontId="29" fillId="0" borderId="34" xfId="15" applyFont="1" applyBorder="1" applyAlignment="1">
      <alignment horizontal="right" vertical="center" readingOrder="1"/>
    </xf>
    <xf numFmtId="0" fontId="34" fillId="0" borderId="18" xfId="15" applyFont="1" applyBorder="1" applyAlignment="1">
      <alignment horizontal="right" readingOrder="1"/>
    </xf>
    <xf numFmtId="3" fontId="34" fillId="8" borderId="19" xfId="15" applyNumberFormat="1" applyFont="1" applyFill="1" applyBorder="1" applyAlignment="1">
      <alignment horizontal="right" vertical="center" readingOrder="1"/>
    </xf>
    <xf numFmtId="3" fontId="34" fillId="5" borderId="19" xfId="15" applyNumberFormat="1" applyFont="1" applyFill="1" applyBorder="1" applyAlignment="1">
      <alignment horizontal="right" vertical="center" readingOrder="1"/>
    </xf>
    <xf numFmtId="0" fontId="29" fillId="0" borderId="44" xfId="15" applyFont="1" applyBorder="1" applyAlignment="1">
      <alignment horizontal="left" readingOrder="1"/>
    </xf>
    <xf numFmtId="3" fontId="34" fillId="5" borderId="19" xfId="15" applyNumberFormat="1" applyFont="1" applyFill="1" applyBorder="1" applyAlignment="1">
      <alignment horizontal="center" vertical="center" readingOrder="1"/>
    </xf>
    <xf numFmtId="0" fontId="29" fillId="0" borderId="2" xfId="15" applyFont="1" applyBorder="1" applyAlignment="1">
      <alignment horizontal="right" vertical="top" readingOrder="1"/>
    </xf>
    <xf numFmtId="0" fontId="31" fillId="0" borderId="3" xfId="15" applyFont="1" applyBorder="1" applyAlignment="1">
      <alignment horizontal="right" vertical="center" readingOrder="1"/>
    </xf>
    <xf numFmtId="0" fontId="29" fillId="0" borderId="16" xfId="15" applyFont="1" applyBorder="1" applyAlignment="1">
      <alignment horizontal="right" vertical="top" readingOrder="1"/>
    </xf>
    <xf numFmtId="0" fontId="31" fillId="0" borderId="14" xfId="15" applyFont="1" applyBorder="1" applyAlignment="1">
      <alignment horizontal="right" vertical="center" readingOrder="1"/>
    </xf>
    <xf numFmtId="0" fontId="29" fillId="0" borderId="15" xfId="15" applyFont="1" applyBorder="1" applyAlignment="1">
      <alignment horizontal="right" vertical="top" readingOrder="1"/>
    </xf>
    <xf numFmtId="3" fontId="29" fillId="5" borderId="22" xfId="15" applyNumberFormat="1" applyFont="1" applyFill="1" applyBorder="1" applyAlignment="1">
      <alignment horizontal="right" vertical="center" readingOrder="1"/>
    </xf>
    <xf numFmtId="3" fontId="29" fillId="0" borderId="22" xfId="15" applyNumberFormat="1" applyFont="1" applyBorder="1" applyAlignment="1">
      <alignment horizontal="right" vertical="center" readingOrder="1"/>
    </xf>
    <xf numFmtId="0" fontId="31" fillId="0" borderId="17" xfId="15" applyFont="1" applyBorder="1" applyAlignment="1">
      <alignment horizontal="right" vertical="center" readingOrder="1"/>
    </xf>
    <xf numFmtId="0" fontId="34" fillId="0" borderId="55" xfId="15" applyFont="1" applyBorder="1" applyAlignment="1">
      <alignment horizontal="right" vertical="top" readingOrder="1"/>
    </xf>
    <xf numFmtId="3" fontId="34" fillId="8" borderId="32" xfId="15" applyNumberFormat="1" applyFont="1" applyFill="1" applyBorder="1" applyAlignment="1">
      <alignment horizontal="right" vertical="center" readingOrder="1"/>
    </xf>
    <xf numFmtId="3" fontId="34" fillId="5" borderId="32" xfId="15" applyNumberFormat="1" applyFont="1" applyFill="1" applyBorder="1" applyAlignment="1">
      <alignment horizontal="right" vertical="center" readingOrder="1"/>
    </xf>
    <xf numFmtId="0" fontId="29" fillId="0" borderId="21" xfId="15" applyFont="1" applyBorder="1" applyAlignment="1">
      <alignment horizontal="left" readingOrder="1"/>
    </xf>
    <xf numFmtId="3" fontId="31" fillId="0" borderId="50" xfId="15" applyNumberFormat="1" applyFont="1" applyBorder="1" applyAlignment="1">
      <alignment horizontal="right" vertical="center" readingOrder="1"/>
    </xf>
    <xf numFmtId="3" fontId="31" fillId="0" borderId="1" xfId="15" applyNumberFormat="1" applyFont="1" applyBorder="1" applyAlignment="1">
      <alignment horizontal="right" vertical="center" readingOrder="1"/>
    </xf>
    <xf numFmtId="0" fontId="29" fillId="0" borderId="15" xfId="15" applyFont="1" applyBorder="1" applyAlignment="1">
      <alignment horizontal="right" readingOrder="1"/>
    </xf>
    <xf numFmtId="3" fontId="34" fillId="5" borderId="58" xfId="15" applyNumberFormat="1" applyFont="1" applyFill="1" applyBorder="1" applyAlignment="1">
      <alignment horizontal="center" vertical="center" readingOrder="1"/>
    </xf>
    <xf numFmtId="0" fontId="34" fillId="0" borderId="18" xfId="15" applyFont="1" applyBorder="1" applyAlignment="1">
      <alignment horizontal="right" vertical="top" readingOrder="1"/>
    </xf>
    <xf numFmtId="3" fontId="31" fillId="0" borderId="19" xfId="15" applyNumberFormat="1" applyFont="1" applyBorder="1" applyAlignment="1">
      <alignment horizontal="right" vertical="center" readingOrder="1"/>
    </xf>
    <xf numFmtId="0" fontId="31" fillId="0" borderId="9" xfId="15" applyFont="1" applyBorder="1" applyAlignment="1">
      <alignment horizontal="right" vertical="center" readingOrder="1"/>
    </xf>
    <xf numFmtId="0" fontId="29" fillId="0" borderId="11" xfId="15" applyFont="1" applyBorder="1" applyAlignment="1">
      <alignment horizontal="left" readingOrder="1"/>
    </xf>
    <xf numFmtId="3" fontId="34" fillId="5" borderId="8" xfId="15" applyNumberFormat="1" applyFont="1" applyFill="1" applyBorder="1" applyAlignment="1">
      <alignment horizontal="center" vertical="center" readingOrder="1"/>
    </xf>
    <xf numFmtId="2" fontId="32" fillId="0" borderId="19" xfId="15" applyNumberFormat="1" applyFont="1" applyBorder="1" applyAlignment="1">
      <alignment horizontal="right" vertical="center" readingOrder="1"/>
    </xf>
    <xf numFmtId="0" fontId="8" fillId="0" borderId="9" xfId="15" applyBorder="1"/>
    <xf numFmtId="0" fontId="29" fillId="0" borderId="57" xfId="15" applyFont="1" applyBorder="1" applyAlignment="1">
      <alignment horizontal="left" readingOrder="1"/>
    </xf>
    <xf numFmtId="0" fontId="34" fillId="0" borderId="2" xfId="15" applyFont="1" applyBorder="1" applyAlignment="1">
      <alignment horizontal="right" vertical="center" readingOrder="1"/>
    </xf>
    <xf numFmtId="0" fontId="23" fillId="0" borderId="50" xfId="15" applyFont="1" applyBorder="1"/>
    <xf numFmtId="0" fontId="23" fillId="0" borderId="3" xfId="15" applyFont="1" applyBorder="1"/>
    <xf numFmtId="0" fontId="23" fillId="0" borderId="36" xfId="15" applyFont="1" applyBorder="1"/>
    <xf numFmtId="0" fontId="34" fillId="0" borderId="15" xfId="15" applyFont="1" applyBorder="1" applyAlignment="1">
      <alignment horizontal="right" vertical="center" readingOrder="1"/>
    </xf>
    <xf numFmtId="0" fontId="23" fillId="0" borderId="22" xfId="15" applyFont="1" applyBorder="1"/>
    <xf numFmtId="0" fontId="23" fillId="0" borderId="17" xfId="15" applyFont="1" applyBorder="1"/>
    <xf numFmtId="0" fontId="23" fillId="0" borderId="37" xfId="15" applyFont="1" applyBorder="1"/>
    <xf numFmtId="0" fontId="32" fillId="0" borderId="2" xfId="15" applyFont="1" applyBorder="1" applyAlignment="1">
      <alignment horizontal="right" vertical="top" readingOrder="1"/>
    </xf>
    <xf numFmtId="2" fontId="31" fillId="0" borderId="50" xfId="15" applyNumberFormat="1" applyFont="1" applyBorder="1" applyAlignment="1">
      <alignment horizontal="right" vertical="center" readingOrder="1"/>
    </xf>
    <xf numFmtId="0" fontId="29" fillId="0" borderId="3" xfId="15" applyFont="1" applyBorder="1" applyAlignment="1">
      <alignment horizontal="right" vertical="center" readingOrder="1"/>
    </xf>
    <xf numFmtId="0" fontId="29" fillId="0" borderId="36" xfId="15" applyFont="1" applyBorder="1" applyAlignment="1">
      <alignment horizontal="left" readingOrder="1"/>
    </xf>
    <xf numFmtId="3" fontId="34" fillId="5" borderId="50" xfId="15" applyNumberFormat="1" applyFont="1" applyFill="1" applyBorder="1" applyAlignment="1">
      <alignment horizontal="right" vertical="center" readingOrder="1"/>
    </xf>
    <xf numFmtId="0" fontId="34" fillId="0" borderId="15" xfId="15" applyFont="1" applyBorder="1" applyAlignment="1">
      <alignment horizontal="right" vertical="top" readingOrder="1"/>
    </xf>
    <xf numFmtId="3" fontId="34" fillId="5" borderId="22" xfId="15" applyNumberFormat="1" applyFont="1" applyFill="1" applyBorder="1" applyAlignment="1">
      <alignment horizontal="right" vertical="center" readingOrder="1"/>
    </xf>
    <xf numFmtId="2" fontId="32" fillId="0" borderId="22" xfId="15" applyNumberFormat="1" applyFont="1" applyBorder="1" applyAlignment="1">
      <alignment horizontal="right" vertical="center" readingOrder="1"/>
    </xf>
    <xf numFmtId="0" fontId="8" fillId="0" borderId="17" xfId="15" applyBorder="1"/>
    <xf numFmtId="0" fontId="8" fillId="0" borderId="37" xfId="15" applyBorder="1"/>
    <xf numFmtId="0" fontId="32" fillId="0" borderId="8" xfId="15" applyFont="1" applyBorder="1" applyAlignment="1">
      <alignment horizontal="right" vertical="center" readingOrder="1"/>
    </xf>
    <xf numFmtId="3" fontId="32" fillId="5" borderId="19" xfId="15" applyNumberFormat="1" applyFont="1" applyFill="1" applyBorder="1" applyAlignment="1">
      <alignment horizontal="right" vertical="center" readingOrder="1"/>
    </xf>
    <xf numFmtId="1" fontId="32" fillId="0" borderId="19" xfId="15" applyNumberFormat="1" applyFont="1" applyBorder="1" applyAlignment="1">
      <alignment horizontal="right" vertical="center" readingOrder="1"/>
    </xf>
    <xf numFmtId="0" fontId="32" fillId="0" borderId="58" xfId="15" applyFont="1" applyBorder="1" applyAlignment="1">
      <alignment horizontal="right" vertical="center" readingOrder="1"/>
    </xf>
    <xf numFmtId="0" fontId="8" fillId="0" borderId="4" xfId="15" applyBorder="1"/>
    <xf numFmtId="0" fontId="29" fillId="0" borderId="18" xfId="15" applyFont="1" applyBorder="1" applyAlignment="1">
      <alignment horizontal="right" readingOrder="1"/>
    </xf>
    <xf numFmtId="3" fontId="29" fillId="0" borderId="19" xfId="15" applyNumberFormat="1" applyFont="1" applyBorder="1" applyAlignment="1">
      <alignment horizontal="right" vertical="center" readingOrder="1"/>
    </xf>
    <xf numFmtId="0" fontId="8" fillId="0" borderId="11" xfId="15" applyBorder="1"/>
    <xf numFmtId="2" fontId="32" fillId="0" borderId="1" xfId="15" applyNumberFormat="1" applyFont="1" applyBorder="1" applyAlignment="1">
      <alignment horizontal="right" vertical="center" readingOrder="1"/>
    </xf>
    <xf numFmtId="0" fontId="29" fillId="0" borderId="4" xfId="15" applyFont="1" applyBorder="1" applyAlignment="1">
      <alignment horizontal="left" readingOrder="1"/>
    </xf>
    <xf numFmtId="0" fontId="29" fillId="0" borderId="37" xfId="15" applyFont="1" applyBorder="1" applyAlignment="1">
      <alignment horizontal="left" readingOrder="1"/>
    </xf>
    <xf numFmtId="0" fontId="29" fillId="0" borderId="14" xfId="15" applyFont="1" applyBorder="1" applyAlignment="1">
      <alignment horizontal="left" readingOrder="1"/>
    </xf>
    <xf numFmtId="0" fontId="8" fillId="0" borderId="33" xfId="15" applyBorder="1"/>
    <xf numFmtId="0" fontId="8" fillId="10" borderId="5" xfId="15" applyFill="1" applyBorder="1"/>
    <xf numFmtId="0" fontId="8" fillId="10" borderId="10" xfId="15" applyFill="1" applyBorder="1"/>
    <xf numFmtId="0" fontId="8" fillId="10" borderId="11" xfId="15" applyFill="1" applyBorder="1"/>
    <xf numFmtId="0" fontId="31" fillId="0" borderId="0" xfId="15" applyFont="1" applyAlignment="1">
      <alignment vertical="top"/>
    </xf>
    <xf numFmtId="0" fontId="34" fillId="0" borderId="23" xfId="15" applyFont="1" applyBorder="1" applyAlignment="1">
      <alignment vertical="top"/>
    </xf>
    <xf numFmtId="0" fontId="26" fillId="0" borderId="29" xfId="15" applyFont="1" applyBorder="1"/>
    <xf numFmtId="3" fontId="29" fillId="5" borderId="36" xfId="15" applyNumberFormat="1" applyFont="1" applyFill="1" applyBorder="1" applyAlignment="1">
      <alignment horizontal="right" vertical="center" readingOrder="1"/>
    </xf>
    <xf numFmtId="0" fontId="34" fillId="0" borderId="16" xfId="15" applyFont="1" applyBorder="1" applyAlignment="1">
      <alignment vertical="top"/>
    </xf>
    <xf numFmtId="167" fontId="34" fillId="5" borderId="14" xfId="1" applyNumberFormat="1" applyFont="1" applyFill="1" applyBorder="1" applyAlignment="1" applyProtection="1">
      <alignment horizontal="right" vertical="center" readingOrder="1"/>
    </xf>
    <xf numFmtId="3" fontId="29" fillId="5" borderId="33" xfId="15" applyNumberFormat="1" applyFont="1" applyFill="1" applyBorder="1" applyAlignment="1">
      <alignment horizontal="right" vertical="center" readingOrder="1"/>
    </xf>
    <xf numFmtId="0" fontId="34" fillId="0" borderId="15" xfId="15" applyFont="1" applyBorder="1" applyAlignment="1">
      <alignment vertical="top"/>
    </xf>
    <xf numFmtId="167" fontId="34" fillId="5" borderId="17" xfId="1" applyNumberFormat="1" applyFont="1" applyFill="1" applyBorder="1" applyAlignment="1" applyProtection="1">
      <alignment horizontal="right" vertical="center" readingOrder="1"/>
    </xf>
    <xf numFmtId="3" fontId="8" fillId="0" borderId="0" xfId="15" applyNumberFormat="1"/>
    <xf numFmtId="0" fontId="26" fillId="0" borderId="48" xfId="15" applyFont="1" applyBorder="1"/>
    <xf numFmtId="3" fontId="29" fillId="5" borderId="47" xfId="15" applyNumberFormat="1" applyFont="1" applyFill="1" applyBorder="1" applyAlignment="1">
      <alignment horizontal="right" vertical="center" readingOrder="1"/>
    </xf>
    <xf numFmtId="0" fontId="20" fillId="0" borderId="0" xfId="15" applyFont="1"/>
    <xf numFmtId="3" fontId="29" fillId="5" borderId="37" xfId="15" applyNumberFormat="1" applyFont="1" applyFill="1" applyBorder="1" applyAlignment="1">
      <alignment horizontal="right" vertical="center" readingOrder="1"/>
    </xf>
    <xf numFmtId="0" fontId="34" fillId="0" borderId="2" xfId="15" applyFont="1" applyBorder="1" applyAlignment="1">
      <alignment vertical="top"/>
    </xf>
    <xf numFmtId="3" fontId="32" fillId="0" borderId="12" xfId="15" applyNumberFormat="1" applyFont="1" applyBorder="1" applyAlignment="1">
      <alignment horizontal="right" vertical="center" readingOrder="1"/>
    </xf>
    <xf numFmtId="0" fontId="8" fillId="10" borderId="52" xfId="15" applyFill="1" applyBorder="1"/>
    <xf numFmtId="0" fontId="8" fillId="10" borderId="27" xfId="15" applyFill="1" applyBorder="1"/>
    <xf numFmtId="0" fontId="8" fillId="10" borderId="0" xfId="15" applyFill="1"/>
    <xf numFmtId="4" fontId="8" fillId="0" borderId="0" xfId="15" applyNumberFormat="1"/>
    <xf numFmtId="0" fontId="26" fillId="0" borderId="39" xfId="15" applyFont="1" applyBorder="1"/>
    <xf numFmtId="3" fontId="29" fillId="5" borderId="43" xfId="15" applyNumberFormat="1" applyFont="1" applyFill="1" applyBorder="1" applyAlignment="1">
      <alignment horizontal="right" vertical="center" readingOrder="1"/>
    </xf>
    <xf numFmtId="0" fontId="8" fillId="0" borderId="31" xfId="15" applyBorder="1"/>
    <xf numFmtId="10" fontId="8" fillId="4" borderId="21" xfId="2" applyNumberFormat="1" applyFont="1" applyFill="1" applyBorder="1" applyProtection="1">
      <protection locked="0"/>
    </xf>
    <xf numFmtId="0" fontId="13" fillId="5" borderId="27" xfId="8" applyFill="1" applyBorder="1"/>
    <xf numFmtId="0" fontId="19" fillId="5" borderId="0" xfId="8" applyFont="1" applyFill="1" applyAlignment="1">
      <alignment horizontal="left"/>
    </xf>
    <xf numFmtId="0" fontId="19" fillId="5" borderId="0" xfId="8" applyFont="1" applyFill="1"/>
    <xf numFmtId="0" fontId="8" fillId="5" borderId="52" xfId="8" applyFont="1" applyFill="1" applyBorder="1"/>
    <xf numFmtId="0" fontId="8" fillId="5" borderId="0" xfId="8" applyFont="1" applyFill="1"/>
    <xf numFmtId="0" fontId="36" fillId="5" borderId="20" xfId="8" applyFont="1" applyFill="1" applyBorder="1"/>
    <xf numFmtId="0" fontId="36" fillId="5" borderId="26" xfId="8" applyFont="1" applyFill="1" applyBorder="1"/>
    <xf numFmtId="0" fontId="13" fillId="5" borderId="44" xfId="8" applyFill="1" applyBorder="1"/>
    <xf numFmtId="0" fontId="8" fillId="4" borderId="6" xfId="8" applyFont="1" applyFill="1" applyBorder="1" applyProtection="1">
      <protection locked="0"/>
    </xf>
    <xf numFmtId="44" fontId="20" fillId="4" borderId="1" xfId="1" applyFont="1" applyFill="1" applyBorder="1" applyAlignment="1" applyProtection="1">
      <alignment horizontal="center"/>
      <protection locked="0"/>
    </xf>
    <xf numFmtId="0" fontId="29" fillId="0" borderId="23" xfId="15" applyFont="1" applyBorder="1" applyAlignment="1">
      <alignment horizontal="right" readingOrder="1"/>
    </xf>
    <xf numFmtId="3" fontId="29" fillId="5" borderId="13" xfId="15" applyNumberFormat="1" applyFont="1" applyFill="1" applyBorder="1" applyAlignment="1">
      <alignment horizontal="right" vertical="center" readingOrder="1"/>
    </xf>
    <xf numFmtId="3" fontId="29" fillId="0" borderId="13" xfId="15" applyNumberFormat="1" applyFont="1" applyBorder="1" applyAlignment="1">
      <alignment horizontal="right" vertical="center" readingOrder="1"/>
    </xf>
    <xf numFmtId="0" fontId="29" fillId="0" borderId="60" xfId="15" applyFont="1" applyBorder="1" applyAlignment="1">
      <alignment horizontal="right" vertical="center" readingOrder="1"/>
    </xf>
    <xf numFmtId="0" fontId="38" fillId="0" borderId="41" xfId="14" applyNumberFormat="1" applyFont="1" applyFill="1" applyBorder="1" applyAlignment="1" applyProtection="1">
      <alignment horizontal="left" readingOrder="1"/>
    </xf>
    <xf numFmtId="0" fontId="27" fillId="0" borderId="0" xfId="15" applyFont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13" fillId="5" borderId="16" xfId="0" applyFont="1" applyFill="1" applyBorder="1" applyAlignment="1">
      <alignment horizontal="center"/>
    </xf>
    <xf numFmtId="44" fontId="25" fillId="3" borderId="4" xfId="0" applyNumberFormat="1" applyFont="1" applyFill="1" applyBorder="1" applyAlignment="1">
      <alignment horizontal="center"/>
    </xf>
    <xf numFmtId="1" fontId="20" fillId="5" borderId="1" xfId="0" applyNumberFormat="1" applyFont="1" applyFill="1" applyBorder="1" applyAlignment="1">
      <alignment horizontal="center"/>
    </xf>
    <xf numFmtId="0" fontId="23" fillId="0" borderId="37" xfId="15" applyFont="1" applyBorder="1" applyAlignment="1">
      <alignment wrapText="1"/>
    </xf>
    <xf numFmtId="0" fontId="6" fillId="4" borderId="6" xfId="8" applyFont="1" applyFill="1" applyBorder="1" applyProtection="1">
      <protection locked="0"/>
    </xf>
    <xf numFmtId="44" fontId="19" fillId="5" borderId="10" xfId="10" applyNumberFormat="1" applyFont="1" applyFill="1" applyBorder="1"/>
    <xf numFmtId="1" fontId="25" fillId="5" borderId="1" xfId="0" applyNumberFormat="1" applyFont="1" applyFill="1" applyBorder="1" applyAlignment="1">
      <alignment horizontal="center"/>
    </xf>
    <xf numFmtId="0" fontId="5" fillId="0" borderId="0" xfId="18"/>
    <xf numFmtId="43" fontId="5" fillId="0" borderId="0" xfId="18" applyNumberFormat="1"/>
    <xf numFmtId="0" fontId="19" fillId="0" borderId="1" xfId="18" applyFont="1" applyBorder="1" applyAlignment="1">
      <alignment horizontal="center"/>
    </xf>
    <xf numFmtId="0" fontId="5" fillId="0" borderId="1" xfId="18" applyBorder="1"/>
    <xf numFmtId="168" fontId="5" fillId="0" borderId="1" xfId="18" applyNumberFormat="1" applyBorder="1"/>
    <xf numFmtId="0" fontId="5" fillId="0" borderId="0" xfId="18" applyAlignment="1">
      <alignment horizontal="left"/>
    </xf>
    <xf numFmtId="9" fontId="5" fillId="0" borderId="0" xfId="2" applyFont="1"/>
    <xf numFmtId="9" fontId="4" fillId="4" borderId="1" xfId="5" applyFont="1" applyFill="1" applyBorder="1" applyAlignment="1" applyProtection="1">
      <alignment horizontal="center"/>
      <protection locked="0"/>
    </xf>
    <xf numFmtId="9" fontId="4" fillId="4" borderId="13" xfId="5" applyFont="1" applyFill="1" applyBorder="1" applyAlignment="1" applyProtection="1">
      <alignment horizontal="center"/>
      <protection locked="0"/>
    </xf>
    <xf numFmtId="3" fontId="8" fillId="0" borderId="4" xfId="15" applyNumberFormat="1" applyBorder="1"/>
    <xf numFmtId="0" fontId="3" fillId="0" borderId="1" xfId="18" applyFont="1" applyBorder="1"/>
    <xf numFmtId="9" fontId="0" fillId="4" borderId="1" xfId="2" applyFont="1" applyFill="1" applyBorder="1" applyAlignment="1" applyProtection="1">
      <alignment horizontal="center"/>
      <protection locked="0"/>
    </xf>
    <xf numFmtId="44" fontId="0" fillId="5" borderId="20" xfId="1" applyFont="1" applyFill="1" applyBorder="1" applyProtection="1"/>
    <xf numFmtId="0" fontId="18" fillId="4" borderId="1" xfId="0" applyFont="1" applyFill="1" applyBorder="1" applyAlignment="1" applyProtection="1">
      <alignment horizontal="left" vertical="top" wrapText="1"/>
      <protection locked="0"/>
    </xf>
    <xf numFmtId="0" fontId="40" fillId="4" borderId="1" xfId="0" applyFont="1" applyFill="1" applyBorder="1" applyAlignment="1" applyProtection="1">
      <alignment horizontal="left" vertical="top" wrapText="1"/>
      <protection locked="0"/>
    </xf>
    <xf numFmtId="0" fontId="40" fillId="4" borderId="1" xfId="0" applyFont="1" applyFill="1" applyBorder="1" applyAlignment="1">
      <alignment horizontal="left" vertical="top"/>
    </xf>
    <xf numFmtId="4" fontId="12" fillId="11" borderId="43" xfId="0" applyNumberFormat="1" applyFont="1" applyFill="1" applyBorder="1" applyAlignment="1">
      <alignment horizontal="center"/>
    </xf>
    <xf numFmtId="0" fontId="25" fillId="11" borderId="39" xfId="15" applyFont="1" applyFill="1" applyBorder="1" applyAlignment="1">
      <alignment horizontal="center" vertical="top" wrapText="1"/>
    </xf>
    <xf numFmtId="0" fontId="32" fillId="11" borderId="4" xfId="15" applyFont="1" applyFill="1" applyBorder="1" applyAlignment="1">
      <alignment horizontal="right" vertical="top" readingOrder="1"/>
    </xf>
    <xf numFmtId="0" fontId="25" fillId="11" borderId="18" xfId="15" applyFont="1" applyFill="1" applyBorder="1" applyAlignment="1">
      <alignment horizontal="center" vertical="top" wrapText="1"/>
    </xf>
    <xf numFmtId="0" fontId="25" fillId="11" borderId="4" xfId="15" applyFont="1" applyFill="1" applyBorder="1" applyAlignment="1">
      <alignment horizontal="center" vertical="top" wrapText="1"/>
    </xf>
    <xf numFmtId="0" fontId="25" fillId="11" borderId="55" xfId="15" applyFont="1" applyFill="1" applyBorder="1" applyAlignment="1">
      <alignment horizontal="center" vertical="top" wrapText="1"/>
    </xf>
    <xf numFmtId="0" fontId="25" fillId="11" borderId="21" xfId="15" applyFont="1" applyFill="1" applyBorder="1" applyAlignment="1">
      <alignment horizontal="center" vertical="top" wrapText="1"/>
    </xf>
    <xf numFmtId="0" fontId="12" fillId="11" borderId="5" xfId="0" applyFont="1" applyFill="1" applyBorder="1" applyAlignment="1">
      <alignment horizontal="center"/>
    </xf>
    <xf numFmtId="0" fontId="12" fillId="11" borderId="18" xfId="0" applyFont="1" applyFill="1" applyBorder="1"/>
    <xf numFmtId="3" fontId="12" fillId="11" borderId="19" xfId="0" applyNumberFormat="1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44" fontId="12" fillId="11" borderId="19" xfId="4" applyFont="1" applyFill="1" applyBorder="1"/>
    <xf numFmtId="44" fontId="12" fillId="11" borderId="9" xfId="4" applyFont="1" applyFill="1" applyBorder="1" applyAlignment="1">
      <alignment horizontal="center"/>
    </xf>
    <xf numFmtId="2" fontId="12" fillId="11" borderId="4" xfId="0" applyNumberFormat="1" applyFont="1" applyFill="1" applyBorder="1" applyAlignment="1">
      <alignment horizontal="center"/>
    </xf>
    <xf numFmtId="3" fontId="12" fillId="11" borderId="40" xfId="0" applyNumberFormat="1" applyFont="1" applyFill="1" applyBorder="1" applyAlignment="1">
      <alignment horizontal="center"/>
    </xf>
    <xf numFmtId="44" fontId="12" fillId="11" borderId="40" xfId="4" applyFont="1" applyFill="1" applyBorder="1"/>
    <xf numFmtId="44" fontId="13" fillId="11" borderId="43" xfId="4" applyFont="1" applyFill="1" applyBorder="1" applyAlignment="1">
      <alignment horizontal="center"/>
    </xf>
    <xf numFmtId="2" fontId="12" fillId="11" borderId="7" xfId="0" applyNumberFormat="1" applyFont="1" applyFill="1" applyBorder="1" applyAlignment="1">
      <alignment horizontal="center"/>
    </xf>
    <xf numFmtId="10" fontId="12" fillId="11" borderId="7" xfId="0" applyNumberFormat="1" applyFont="1" applyFill="1" applyBorder="1" applyAlignment="1">
      <alignment horizontal="center"/>
    </xf>
    <xf numFmtId="3" fontId="12" fillId="11" borderId="32" xfId="0" applyNumberFormat="1" applyFont="1" applyFill="1" applyBorder="1" applyAlignment="1">
      <alignment horizontal="center"/>
    </xf>
    <xf numFmtId="44" fontId="12" fillId="11" borderId="32" xfId="4" applyFont="1" applyFill="1" applyBorder="1"/>
    <xf numFmtId="44" fontId="13" fillId="11" borderId="9" xfId="4" applyFont="1" applyFill="1" applyBorder="1" applyAlignment="1">
      <alignment horizontal="center"/>
    </xf>
    <xf numFmtId="10" fontId="12" fillId="11" borderId="4" xfId="0" applyNumberFormat="1" applyFont="1" applyFill="1" applyBorder="1" applyAlignment="1">
      <alignment horizontal="center"/>
    </xf>
    <xf numFmtId="4" fontId="12" fillId="11" borderId="45" xfId="0" applyNumberFormat="1" applyFont="1" applyFill="1" applyBorder="1" applyAlignment="1">
      <alignment horizontal="right"/>
    </xf>
    <xf numFmtId="4" fontId="12" fillId="11" borderId="45" xfId="0" applyNumberFormat="1" applyFont="1" applyFill="1" applyBorder="1"/>
    <xf numFmtId="4" fontId="12" fillId="11" borderId="4" xfId="0" applyNumberFormat="1" applyFont="1" applyFill="1" applyBorder="1" applyAlignment="1">
      <alignment horizontal="right"/>
    </xf>
    <xf numFmtId="4" fontId="12" fillId="11" borderId="4" xfId="0" applyNumberFormat="1" applyFont="1" applyFill="1" applyBorder="1"/>
    <xf numFmtId="44" fontId="12" fillId="11" borderId="19" xfId="4" applyFont="1" applyFill="1" applyBorder="1" applyProtection="1"/>
    <xf numFmtId="44" fontId="12" fillId="11" borderId="9" xfId="4" applyFont="1" applyFill="1" applyBorder="1" applyAlignment="1" applyProtection="1">
      <alignment horizontal="center"/>
    </xf>
    <xf numFmtId="0" fontId="25" fillId="11" borderId="19" xfId="0" applyFont="1" applyFill="1" applyBorder="1" applyAlignment="1">
      <alignment horizontal="left" vertical="center"/>
    </xf>
    <xf numFmtId="44" fontId="12" fillId="11" borderId="40" xfId="4" applyFont="1" applyFill="1" applyBorder="1" applyProtection="1"/>
    <xf numFmtId="44" fontId="13" fillId="11" borderId="43" xfId="4" applyFont="1" applyFill="1" applyBorder="1" applyAlignment="1" applyProtection="1">
      <alignment horizontal="center"/>
    </xf>
    <xf numFmtId="10" fontId="12" fillId="11" borderId="7" xfId="2" applyNumberFormat="1" applyFont="1" applyFill="1" applyBorder="1" applyAlignment="1" applyProtection="1">
      <alignment horizontal="center"/>
    </xf>
    <xf numFmtId="0" fontId="25" fillId="11" borderId="4" xfId="0" applyFont="1" applyFill="1" applyBorder="1" applyAlignment="1">
      <alignment horizontal="center" wrapText="1"/>
    </xf>
    <xf numFmtId="0" fontId="25" fillId="11" borderId="7" xfId="0" applyFont="1" applyFill="1" applyBorder="1" applyAlignment="1">
      <alignment horizontal="center" wrapText="1"/>
    </xf>
    <xf numFmtId="0" fontId="25" fillId="11" borderId="39" xfId="0" applyFont="1" applyFill="1" applyBorder="1" applyAlignment="1">
      <alignment horizontal="center" wrapText="1"/>
    </xf>
    <xf numFmtId="0" fontId="25" fillId="11" borderId="54" xfId="0" applyFont="1" applyFill="1" applyBorder="1" applyAlignment="1">
      <alignment horizontal="center" wrapText="1"/>
    </xf>
    <xf numFmtId="0" fontId="25" fillId="11" borderId="46" xfId="0" applyFont="1" applyFill="1" applyBorder="1" applyAlignment="1">
      <alignment horizontal="center" wrapText="1"/>
    </xf>
    <xf numFmtId="0" fontId="25" fillId="11" borderId="1" xfId="0" applyFont="1" applyFill="1" applyBorder="1" applyAlignment="1">
      <alignment horizontal="left" wrapText="1"/>
    </xf>
    <xf numFmtId="0" fontId="19" fillId="11" borderId="10" xfId="15" applyFont="1" applyFill="1" applyBorder="1" applyAlignment="1">
      <alignment horizontal="center" vertical="center" textRotation="255"/>
    </xf>
    <xf numFmtId="0" fontId="19" fillId="11" borderId="5" xfId="15" applyFont="1" applyFill="1" applyBorder="1" applyAlignment="1">
      <alignment horizontal="center" vertical="center" textRotation="255"/>
    </xf>
    <xf numFmtId="0" fontId="12" fillId="11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 applyProtection="1">
      <alignment horizontal="center" vertical="center" wrapText="1"/>
      <protection locked="0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21" fillId="5" borderId="11" xfId="0" applyFont="1" applyFill="1" applyBorder="1" applyAlignment="1">
      <alignment horizontal="right"/>
    </xf>
    <xf numFmtId="4" fontId="12" fillId="11" borderId="54" xfId="0" applyNumberFormat="1" applyFont="1" applyFill="1" applyBorder="1" applyAlignment="1">
      <alignment horizontal="center"/>
    </xf>
    <xf numFmtId="44" fontId="0" fillId="4" borderId="61" xfId="4" applyFont="1" applyFill="1" applyBorder="1" applyProtection="1">
      <protection locked="0"/>
    </xf>
    <xf numFmtId="44" fontId="13" fillId="5" borderId="8" xfId="4" applyFont="1" applyFill="1" applyBorder="1" applyProtection="1"/>
    <xf numFmtId="9" fontId="13" fillId="4" borderId="8" xfId="2" applyFont="1" applyFill="1" applyBorder="1" applyProtection="1"/>
    <xf numFmtId="4" fontId="12" fillId="5" borderId="44" xfId="0" applyNumberFormat="1" applyFont="1" applyFill="1" applyBorder="1" applyAlignment="1">
      <alignment horizontal="right"/>
    </xf>
    <xf numFmtId="44" fontId="13" fillId="5" borderId="1" xfId="4" applyFont="1" applyFill="1" applyBorder="1" applyAlignment="1" applyProtection="1">
      <alignment horizontal="right"/>
    </xf>
    <xf numFmtId="4" fontId="12" fillId="5" borderId="1" xfId="0" applyNumberFormat="1" applyFont="1" applyFill="1" applyBorder="1" applyAlignment="1">
      <alignment horizontal="right"/>
    </xf>
    <xf numFmtId="0" fontId="2" fillId="0" borderId="0" xfId="18" applyFont="1"/>
    <xf numFmtId="0" fontId="1" fillId="0" borderId="0" xfId="18" applyFont="1"/>
    <xf numFmtId="1" fontId="20" fillId="4" borderId="1" xfId="0" applyNumberFormat="1" applyFont="1" applyFill="1" applyBorder="1" applyAlignment="1" applyProtection="1">
      <alignment horizontal="center"/>
      <protection locked="0"/>
    </xf>
    <xf numFmtId="168" fontId="20" fillId="4" borderId="1" xfId="0" applyNumberFormat="1" applyFont="1" applyFill="1" applyBorder="1" applyAlignment="1" applyProtection="1">
      <alignment horizontal="center"/>
      <protection locked="0"/>
    </xf>
    <xf numFmtId="168" fontId="20" fillId="4" borderId="6" xfId="0" applyNumberFormat="1" applyFont="1" applyFill="1" applyBorder="1" applyAlignment="1" applyProtection="1">
      <alignment horizontal="center"/>
      <protection locked="0"/>
    </xf>
    <xf numFmtId="7" fontId="20" fillId="4" borderId="1" xfId="0" applyNumberFormat="1" applyFont="1" applyFill="1" applyBorder="1" applyProtection="1">
      <protection locked="0"/>
    </xf>
    <xf numFmtId="0" fontId="18" fillId="4" borderId="62" xfId="0" applyFont="1" applyFill="1" applyBorder="1" applyAlignment="1" applyProtection="1">
      <alignment horizontal="left" vertical="top" wrapText="1"/>
      <protection locked="0"/>
    </xf>
    <xf numFmtId="0" fontId="18" fillId="4" borderId="63" xfId="0" applyFont="1" applyFill="1" applyBorder="1" applyAlignment="1" applyProtection="1">
      <alignment horizontal="left" vertical="top" wrapText="1"/>
      <protection locked="0"/>
    </xf>
    <xf numFmtId="0" fontId="18" fillId="4" borderId="63" xfId="0" applyFont="1" applyFill="1" applyBorder="1" applyAlignment="1" applyProtection="1">
      <alignment horizontal="right" vertical="top" wrapText="1"/>
      <protection locked="0"/>
    </xf>
    <xf numFmtId="44" fontId="0" fillId="4" borderId="35" xfId="4" applyFont="1" applyFill="1" applyBorder="1" applyProtection="1">
      <protection locked="0"/>
    </xf>
    <xf numFmtId="0" fontId="18" fillId="4" borderId="64" xfId="0" applyFont="1" applyFill="1" applyBorder="1" applyAlignment="1" applyProtection="1">
      <alignment horizontal="left" vertical="top" wrapText="1"/>
      <protection locked="0"/>
    </xf>
    <xf numFmtId="0" fontId="18" fillId="4" borderId="65" xfId="0" applyFont="1" applyFill="1" applyBorder="1" applyAlignment="1" applyProtection="1">
      <alignment horizontal="left" vertical="top" wrapText="1"/>
      <protection locked="0"/>
    </xf>
    <xf numFmtId="0" fontId="18" fillId="4" borderId="65" xfId="0" applyFont="1" applyFill="1" applyBorder="1" applyAlignment="1" applyProtection="1">
      <alignment horizontal="right" vertical="top" wrapText="1"/>
      <protection locked="0"/>
    </xf>
    <xf numFmtId="0" fontId="18" fillId="4" borderId="66" xfId="0" applyFont="1" applyFill="1" applyBorder="1" applyAlignment="1" applyProtection="1">
      <alignment horizontal="right" vertical="top" wrapText="1"/>
      <protection locked="0"/>
    </xf>
    <xf numFmtId="0" fontId="18" fillId="4" borderId="35" xfId="0" applyFont="1" applyFill="1" applyBorder="1" applyAlignment="1" applyProtection="1">
      <alignment horizontal="right" vertical="top" wrapText="1"/>
      <protection locked="0"/>
    </xf>
    <xf numFmtId="8" fontId="0" fillId="4" borderId="35" xfId="4" applyNumberFormat="1" applyFont="1" applyFill="1" applyBorder="1" applyProtection="1">
      <protection locked="0"/>
    </xf>
    <xf numFmtId="8" fontId="0" fillId="4" borderId="61" xfId="4" applyNumberFormat="1" applyFont="1" applyFill="1" applyBorder="1" applyProtection="1">
      <protection locked="0"/>
    </xf>
    <xf numFmtId="0" fontId="19" fillId="9" borderId="25" xfId="11" applyFont="1" applyFill="1" applyBorder="1" applyAlignment="1" applyProtection="1">
      <alignment horizontal="left" vertical="center" readingOrder="1"/>
      <protection locked="0"/>
    </xf>
    <xf numFmtId="0" fontId="19" fillId="5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/>
    </xf>
    <xf numFmtId="0" fontId="19" fillId="5" borderId="52" xfId="8" applyFont="1" applyFill="1" applyBorder="1" applyAlignment="1">
      <alignment horizontal="center"/>
    </xf>
    <xf numFmtId="0" fontId="19" fillId="5" borderId="0" xfId="8" applyFont="1" applyFill="1" applyAlignment="1">
      <alignment horizontal="center"/>
    </xf>
    <xf numFmtId="0" fontId="6" fillId="4" borderId="45" xfId="8" applyFont="1" applyFill="1" applyBorder="1" applyAlignment="1" applyProtection="1">
      <alignment horizontal="center" vertical="center" wrapText="1"/>
      <protection locked="0"/>
    </xf>
    <xf numFmtId="0" fontId="8" fillId="4" borderId="38" xfId="8" applyFont="1" applyFill="1" applyBorder="1" applyAlignment="1" applyProtection="1">
      <alignment horizontal="center" vertical="center" wrapText="1"/>
      <protection locked="0"/>
    </xf>
    <xf numFmtId="0" fontId="8" fillId="4" borderId="46" xfId="8" applyFont="1" applyFill="1" applyBorder="1" applyAlignment="1" applyProtection="1">
      <alignment horizontal="center" vertical="center" wrapText="1"/>
      <protection locked="0"/>
    </xf>
    <xf numFmtId="0" fontId="8" fillId="4" borderId="52" xfId="8" applyFont="1" applyFill="1" applyBorder="1" applyAlignment="1" applyProtection="1">
      <alignment horizontal="center" vertical="center" wrapText="1"/>
      <protection locked="0"/>
    </xf>
    <xf numFmtId="0" fontId="8" fillId="4" borderId="0" xfId="8" applyFont="1" applyFill="1" applyAlignment="1" applyProtection="1">
      <alignment horizontal="center" vertical="center" wrapText="1"/>
      <protection locked="0"/>
    </xf>
    <xf numFmtId="0" fontId="8" fillId="4" borderId="27" xfId="8" applyFont="1" applyFill="1" applyBorder="1" applyAlignment="1" applyProtection="1">
      <alignment horizontal="center" vertical="center" wrapText="1"/>
      <protection locked="0"/>
    </xf>
    <xf numFmtId="0" fontId="8" fillId="4" borderId="20" xfId="8" applyFont="1" applyFill="1" applyBorder="1" applyAlignment="1" applyProtection="1">
      <alignment horizontal="center" vertical="center" wrapText="1"/>
      <protection locked="0"/>
    </xf>
    <xf numFmtId="0" fontId="8" fillId="4" borderId="26" xfId="8" applyFont="1" applyFill="1" applyBorder="1" applyAlignment="1" applyProtection="1">
      <alignment horizontal="center" vertical="center" wrapText="1"/>
      <protection locked="0"/>
    </xf>
    <xf numFmtId="0" fontId="8" fillId="4" borderId="44" xfId="8" applyFont="1" applyFill="1" applyBorder="1" applyAlignment="1" applyProtection="1">
      <alignment horizontal="center" vertical="center" wrapText="1"/>
      <protection locked="0"/>
    </xf>
    <xf numFmtId="0" fontId="19" fillId="5" borderId="52" xfId="8" applyFont="1" applyFill="1" applyBorder="1" applyAlignment="1">
      <alignment horizontal="center" wrapText="1"/>
    </xf>
    <xf numFmtId="0" fontId="19" fillId="5" borderId="0" xfId="8" applyFont="1" applyFill="1" applyAlignment="1">
      <alignment horizontal="center" wrapText="1"/>
    </xf>
    <xf numFmtId="0" fontId="6" fillId="4" borderId="45" xfId="8" applyFont="1" applyFill="1" applyBorder="1" applyAlignment="1" applyProtection="1">
      <alignment horizontal="center"/>
      <protection locked="0"/>
    </xf>
    <xf numFmtId="0" fontId="8" fillId="4" borderId="38" xfId="8" applyFont="1" applyFill="1" applyBorder="1" applyAlignment="1" applyProtection="1">
      <alignment horizontal="center"/>
      <protection locked="0"/>
    </xf>
    <xf numFmtId="0" fontId="8" fillId="4" borderId="46" xfId="8" applyFont="1" applyFill="1" applyBorder="1" applyAlignment="1" applyProtection="1">
      <alignment horizontal="center"/>
      <protection locked="0"/>
    </xf>
    <xf numFmtId="0" fontId="8" fillId="4" borderId="52" xfId="8" applyFont="1" applyFill="1" applyBorder="1" applyAlignment="1" applyProtection="1">
      <alignment horizontal="center"/>
      <protection locked="0"/>
    </xf>
    <xf numFmtId="0" fontId="8" fillId="4" borderId="0" xfId="8" applyFont="1" applyFill="1" applyAlignment="1" applyProtection="1">
      <alignment horizontal="center"/>
      <protection locked="0"/>
    </xf>
    <xf numFmtId="0" fontId="8" fillId="4" borderId="27" xfId="8" applyFont="1" applyFill="1" applyBorder="1" applyAlignment="1" applyProtection="1">
      <alignment horizontal="center"/>
      <protection locked="0"/>
    </xf>
    <xf numFmtId="0" fontId="8" fillId="4" borderId="20" xfId="8" applyFont="1" applyFill="1" applyBorder="1" applyAlignment="1" applyProtection="1">
      <alignment horizontal="center"/>
      <protection locked="0"/>
    </xf>
    <xf numFmtId="0" fontId="8" fillId="4" borderId="26" xfId="8" applyFont="1" applyFill="1" applyBorder="1" applyAlignment="1" applyProtection="1">
      <alignment horizontal="center"/>
      <protection locked="0"/>
    </xf>
    <xf numFmtId="0" fontId="8" fillId="4" borderId="44" xfId="8" applyFont="1" applyFill="1" applyBorder="1" applyAlignment="1" applyProtection="1">
      <alignment horizontal="center"/>
      <protection locked="0"/>
    </xf>
    <xf numFmtId="0" fontId="8" fillId="5" borderId="52" xfId="8" applyFont="1" applyFill="1" applyBorder="1" applyAlignment="1">
      <alignment horizontal="center"/>
    </xf>
    <xf numFmtId="0" fontId="8" fillId="5" borderId="0" xfId="8" applyFont="1" applyFill="1" applyAlignment="1">
      <alignment horizontal="center"/>
    </xf>
    <xf numFmtId="0" fontId="8" fillId="4" borderId="6" xfId="8" applyFont="1" applyFill="1" applyBorder="1" applyAlignment="1" applyProtection="1">
      <alignment horizontal="center"/>
      <protection locked="0"/>
    </xf>
    <xf numFmtId="0" fontId="6" fillId="4" borderId="1" xfId="8" applyFont="1" applyFill="1" applyBorder="1" applyAlignment="1" applyProtection="1">
      <alignment horizontal="left"/>
      <protection locked="0"/>
    </xf>
    <xf numFmtId="0" fontId="8" fillId="4" borderId="1" xfId="8" applyFont="1" applyFill="1" applyBorder="1" applyAlignment="1" applyProtection="1">
      <alignment horizontal="left"/>
      <protection locked="0"/>
    </xf>
    <xf numFmtId="0" fontId="37" fillId="4" borderId="1" xfId="14" applyFont="1" applyFill="1" applyBorder="1" applyAlignment="1" applyProtection="1">
      <alignment horizontal="left"/>
      <protection locked="0"/>
    </xf>
    <xf numFmtId="14" fontId="8" fillId="4" borderId="6" xfId="8" applyNumberFormat="1" applyFont="1" applyFill="1" applyBorder="1" applyAlignment="1" applyProtection="1">
      <alignment horizontal="left"/>
      <protection locked="0"/>
    </xf>
    <xf numFmtId="0" fontId="8" fillId="4" borderId="6" xfId="8" applyFont="1" applyFill="1" applyBorder="1" applyAlignment="1" applyProtection="1">
      <alignment horizontal="left"/>
      <protection locked="0"/>
    </xf>
    <xf numFmtId="0" fontId="19" fillId="5" borderId="0" xfId="8" applyFont="1" applyFill="1" applyAlignment="1">
      <alignment horizontal="left"/>
    </xf>
    <xf numFmtId="0" fontId="35" fillId="5" borderId="0" xfId="8" applyFont="1" applyFill="1" applyAlignment="1">
      <alignment horizontal="center"/>
    </xf>
    <xf numFmtId="0" fontId="35" fillId="5" borderId="27" xfId="8" applyFont="1" applyFill="1" applyBorder="1" applyAlignment="1">
      <alignment horizontal="center"/>
    </xf>
    <xf numFmtId="0" fontId="19" fillId="0" borderId="18" xfId="15" applyFont="1" applyBorder="1" applyAlignment="1">
      <alignment horizontal="center"/>
    </xf>
    <xf numFmtId="0" fontId="19" fillId="0" borderId="9" xfId="15" applyFont="1" applyBorder="1" applyAlignment="1">
      <alignment horizontal="center"/>
    </xf>
    <xf numFmtId="0" fontId="19" fillId="11" borderId="45" xfId="15" applyFont="1" applyFill="1" applyBorder="1" applyAlignment="1">
      <alignment horizontal="center"/>
    </xf>
    <xf numFmtId="0" fontId="19" fillId="11" borderId="46" xfId="15" applyFont="1" applyFill="1" applyBorder="1" applyAlignment="1">
      <alignment horizontal="center"/>
    </xf>
    <xf numFmtId="0" fontId="19" fillId="11" borderId="18" xfId="15" applyFont="1" applyFill="1" applyBorder="1" applyAlignment="1">
      <alignment horizontal="center"/>
    </xf>
    <xf numFmtId="0" fontId="19" fillId="11" borderId="9" xfId="15" applyFont="1" applyFill="1" applyBorder="1" applyAlignment="1">
      <alignment horizontal="center"/>
    </xf>
    <xf numFmtId="0" fontId="25" fillId="11" borderId="5" xfId="15" applyFont="1" applyFill="1" applyBorder="1" applyAlignment="1">
      <alignment horizontal="center" vertical="top" wrapText="1"/>
    </xf>
    <xf numFmtId="0" fontId="25" fillId="11" borderId="10" xfId="15" applyFont="1" applyFill="1" applyBorder="1" applyAlignment="1">
      <alignment horizontal="center" vertical="top" wrapText="1"/>
    </xf>
    <xf numFmtId="0" fontId="25" fillId="11" borderId="11" xfId="15" applyFont="1" applyFill="1" applyBorder="1" applyAlignment="1">
      <alignment horizontal="center" vertical="top" wrapText="1"/>
    </xf>
    <xf numFmtId="0" fontId="27" fillId="0" borderId="20" xfId="15" applyFont="1" applyBorder="1" applyAlignment="1">
      <alignment horizontal="center"/>
    </xf>
    <xf numFmtId="0" fontId="27" fillId="0" borderId="26" xfId="15" applyFont="1" applyBorder="1" applyAlignment="1">
      <alignment horizontal="center"/>
    </xf>
    <xf numFmtId="0" fontId="27" fillId="0" borderId="44" xfId="15" applyFont="1" applyBorder="1" applyAlignment="1">
      <alignment horizontal="center"/>
    </xf>
    <xf numFmtId="0" fontId="27" fillId="0" borderId="5" xfId="15" applyFont="1" applyBorder="1" applyAlignment="1">
      <alignment horizontal="center"/>
    </xf>
    <xf numFmtId="0" fontId="27" fillId="0" borderId="10" xfId="15" applyFont="1" applyBorder="1" applyAlignment="1">
      <alignment horizontal="center"/>
    </xf>
    <xf numFmtId="0" fontId="27" fillId="0" borderId="11" xfId="15" applyFont="1" applyBorder="1" applyAlignment="1">
      <alignment horizontal="center"/>
    </xf>
    <xf numFmtId="0" fontId="19" fillId="11" borderId="20" xfId="15" applyFont="1" applyFill="1" applyBorder="1" applyAlignment="1">
      <alignment horizontal="center"/>
    </xf>
    <xf numFmtId="0" fontId="19" fillId="11" borderId="26" xfId="15" applyFont="1" applyFill="1" applyBorder="1" applyAlignment="1">
      <alignment horizontal="center"/>
    </xf>
    <xf numFmtId="0" fontId="19" fillId="5" borderId="20" xfId="15" applyFont="1" applyFill="1" applyBorder="1" applyAlignment="1">
      <alignment horizontal="center"/>
    </xf>
    <xf numFmtId="0" fontId="19" fillId="5" borderId="26" xfId="15" applyFont="1" applyFill="1" applyBorder="1" applyAlignment="1">
      <alignment horizontal="center"/>
    </xf>
    <xf numFmtId="0" fontId="19" fillId="5" borderId="44" xfId="15" applyFont="1" applyFill="1" applyBorder="1" applyAlignment="1">
      <alignment horizontal="center"/>
    </xf>
    <xf numFmtId="0" fontId="21" fillId="11" borderId="10" xfId="0" applyFont="1" applyFill="1" applyBorder="1" applyAlignment="1">
      <alignment horizontal="right"/>
    </xf>
    <xf numFmtId="0" fontId="21" fillId="11" borderId="11" xfId="0" applyFont="1" applyFill="1" applyBorder="1" applyAlignment="1">
      <alignment horizontal="right"/>
    </xf>
    <xf numFmtId="0" fontId="19" fillId="4" borderId="5" xfId="0" applyFont="1" applyFill="1" applyBorder="1" applyAlignment="1">
      <alignment horizontal="center"/>
    </xf>
    <xf numFmtId="0" fontId="19" fillId="2" borderId="11" xfId="0" applyFont="1" applyFill="1" applyBorder="1" applyAlignment="1">
      <alignment horizontal="center"/>
    </xf>
    <xf numFmtId="0" fontId="19" fillId="5" borderId="20" xfId="0" applyFont="1" applyFill="1" applyBorder="1" applyAlignment="1">
      <alignment horizontal="center"/>
    </xf>
    <xf numFmtId="0" fontId="19" fillId="5" borderId="26" xfId="0" applyFont="1" applyFill="1" applyBorder="1" applyAlignment="1">
      <alignment horizontal="center"/>
    </xf>
    <xf numFmtId="0" fontId="19" fillId="4" borderId="0" xfId="10" applyFont="1" applyFill="1" applyAlignment="1">
      <alignment horizontal="center"/>
    </xf>
    <xf numFmtId="0" fontId="19" fillId="2" borderId="0" xfId="10" applyFont="1" applyFill="1" applyAlignment="1">
      <alignment horizontal="center"/>
    </xf>
    <xf numFmtId="0" fontId="25" fillId="11" borderId="5" xfId="0" applyFont="1" applyFill="1" applyBorder="1" applyAlignment="1">
      <alignment horizontal="center" wrapText="1"/>
    </xf>
    <xf numFmtId="0" fontId="25" fillId="11" borderId="10" xfId="0" applyFont="1" applyFill="1" applyBorder="1" applyAlignment="1">
      <alignment horizontal="center" wrapText="1"/>
    </xf>
    <xf numFmtId="0" fontId="25" fillId="11" borderId="11" xfId="0" applyFont="1" applyFill="1" applyBorder="1" applyAlignment="1">
      <alignment horizontal="center" wrapText="1"/>
    </xf>
    <xf numFmtId="0" fontId="28" fillId="11" borderId="5" xfId="0" applyFont="1" applyFill="1" applyBorder="1" applyAlignment="1">
      <alignment horizontal="right" vertical="center"/>
    </xf>
    <xf numFmtId="0" fontId="28" fillId="11" borderId="10" xfId="0" applyFont="1" applyFill="1" applyBorder="1" applyAlignment="1">
      <alignment horizontal="right" vertical="center"/>
    </xf>
    <xf numFmtId="0" fontId="28" fillId="11" borderId="11" xfId="0" applyFont="1" applyFill="1" applyBorder="1" applyAlignment="1">
      <alignment horizontal="right" vertical="center"/>
    </xf>
    <xf numFmtId="0" fontId="19" fillId="5" borderId="53" xfId="10" applyFont="1" applyFill="1" applyBorder="1" applyAlignment="1">
      <alignment horizontal="center"/>
    </xf>
    <xf numFmtId="0" fontId="19" fillId="11" borderId="56" xfId="10" applyFont="1" applyFill="1" applyBorder="1" applyAlignment="1">
      <alignment horizontal="center" vertical="center"/>
    </xf>
    <xf numFmtId="0" fontId="40" fillId="4" borderId="1" xfId="0" applyFont="1" applyFill="1" applyBorder="1" applyAlignment="1" applyProtection="1">
      <alignment vertical="top" wrapText="1"/>
      <protection locked="0"/>
    </xf>
  </cellXfs>
  <cellStyles count="21">
    <cellStyle name="_x000a_shell=progma 2" xfId="3" xr:uid="{00000000-0005-0000-0000-000000000000}"/>
    <cellStyle name="Currency" xfId="1" builtinId="4"/>
    <cellStyle name="Currency 2" xfId="4" xr:uid="{00000000-0005-0000-0000-000002000000}"/>
    <cellStyle name="Currency 3" xfId="13" xr:uid="{0B281F33-4DFE-4364-860A-F8BB0EA61987}"/>
    <cellStyle name="Currency 4" xfId="19" xr:uid="{11F6100D-5FF5-477E-9727-0BEEBBD47C9B}"/>
    <cellStyle name="Followed Hyperlink" xfId="7" builtinId="9" hidden="1"/>
    <cellStyle name="Hyperlink" xfId="6" builtinId="8" hidden="1"/>
    <cellStyle name="Hyperlink" xfId="14" builtinId="8"/>
    <cellStyle name="Hyperlink 2" xfId="16" xr:uid="{00FEA533-B7C3-4E2C-A65A-D5921F241FF7}"/>
    <cellStyle name="Normal" xfId="0" builtinId="0"/>
    <cellStyle name="Normal 2" xfId="8" xr:uid="{00000000-0005-0000-0000-000006000000}"/>
    <cellStyle name="Normal 3" xfId="9" xr:uid="{00000000-0005-0000-0000-000035000000}"/>
    <cellStyle name="Normal 4" xfId="10" xr:uid="{B2BE427A-6D68-43DF-ABA1-448E7FED6B03}"/>
    <cellStyle name="Normal 5" xfId="15" xr:uid="{953F79FF-B969-44EC-B8E2-AC246DCE656B}"/>
    <cellStyle name="Normal 5 2" xfId="11" xr:uid="{EAA4748A-BF53-40ED-9F80-9D23CE4F566B}"/>
    <cellStyle name="Normal 6" xfId="18" xr:uid="{97A802C8-F452-471F-B8D4-C70108D08B84}"/>
    <cellStyle name="Percent" xfId="2" builtinId="5"/>
    <cellStyle name="Percent 2" xfId="5" xr:uid="{00000000-0005-0000-0000-000008000000}"/>
    <cellStyle name="Percent 3" xfId="12" xr:uid="{BAF91426-6A76-41EA-90B9-235A096126D3}"/>
    <cellStyle name="Percent 4" xfId="17" xr:uid="{675A24F5-7FD4-4307-BED1-4FBB840B17F9}"/>
    <cellStyle name="Percent 5" xfId="20" xr:uid="{49AC818B-8072-4185-ABFD-DBE9A6959621}"/>
  </cellStyles>
  <dxfs count="0"/>
  <tableStyles count="0" defaultTableStyle="TableStyleMedium9" defaultPivotStyle="PivotStyleLight16"/>
  <colors>
    <mruColors>
      <color rgb="FFFFFF99"/>
      <color rgb="FFFF66FF"/>
      <color rgb="FFFF99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zd903d\AppData\Local\Microsoft\Windows\Temporary%20Internet%20Files\Content.Outlook\BM40HI05\Reverse%20Auction\DAS%20RA%20Alternate%20Savings%20-%20Round%202%20v7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zd903d\AppData\Local\Microsoft\Windows\Temporary%20Internet%20Files\Content.Outlook\BM40HI05\Reverse%20Auction\DAS%20Kumar%20Savings%20Method%20vFINAL%20PICKS%20v4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christie\Desktop\609%20Main%20Quote\For%20Airwavz%20Submission\Job%20Costing%20Tool%20609%20Main%20TMO%20Only%20Final%203-28-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zd903d\AppData\Local\Microsoft\Windows\Temporary%20Internet%20Files\Content.Outlook\BM40HI05\Reverse%20Auction\DAS%20RA%20Savings%20and%20Analytics%20v4%20-%20Round%202%20Days%20Combined%20v15-Paul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Here"/>
      <sheetName val="Volumes"/>
      <sheetName val="VendorTerritories"/>
      <sheetName val="SuppMapping"/>
      <sheetName val="Savings"/>
      <sheetName val="AllBids"/>
      <sheetName val="SupplierProfs-DMM"/>
      <sheetName val="Region-Territory"/>
      <sheetName val="VolumeMapping"/>
      <sheetName val="RFPMap1Job"/>
      <sheetName val="MedianTop5"/>
      <sheetName val="Write-In-BestTerritory"/>
      <sheetName val="SupplierRanks-BestPrice"/>
      <sheetName val="BestIncumbent"/>
      <sheetName val="BGCalcs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>
        <row r="3">
          <cell r="B3" t="str">
            <v>EPA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 t="str">
            <v>AFL Network Services</v>
          </cell>
          <cell r="I14" t="str">
            <v>Complete close out package</v>
          </cell>
          <cell r="J14">
            <v>246</v>
          </cell>
        </row>
        <row r="15">
          <cell r="C15" t="str">
            <v>Alcatel-Lucent</v>
          </cell>
          <cell r="I15" t="str">
            <v>LL required vendor pass through</v>
          </cell>
        </row>
        <row r="16">
          <cell r="C16" t="str">
            <v>Argent Associates</v>
          </cell>
          <cell r="I16" t="str">
            <v>Install Mobile Access Remote, backboard</v>
          </cell>
        </row>
        <row r="17">
          <cell r="C17" t="str">
            <v>ARQ</v>
          </cell>
          <cell r="I17" t="str">
            <v>Install Mobile Access Remote, in existing rack</v>
          </cell>
        </row>
        <row r="18">
          <cell r="C18" t="str">
            <v>Avenger</v>
          </cell>
          <cell r="I18" t="str">
            <v>Install Mobile Access Remote above ceiling</v>
          </cell>
        </row>
        <row r="19">
          <cell r="C19" t="str">
            <v>Avion Systems</v>
          </cell>
          <cell r="I19" t="str">
            <v>Install Commscope Remote backboard</v>
          </cell>
        </row>
        <row r="20">
          <cell r="C20" t="str">
            <v>Betacom Inc</v>
          </cell>
          <cell r="I20" t="str">
            <v>Install Commscope Remote in existing rack</v>
          </cell>
        </row>
        <row r="21">
          <cell r="C21" t="str">
            <v>Black &amp; Veatch</v>
          </cell>
          <cell r="I21" t="str">
            <v>Install Commscope Remote above ceiling</v>
          </cell>
        </row>
        <row r="22">
          <cell r="C22" t="str">
            <v>Black Box-InnerWireless</v>
          </cell>
          <cell r="I22" t="str">
            <v>Install Commscope ION-M remote (outdoor)</v>
          </cell>
        </row>
        <row r="23">
          <cell r="C23" t="str">
            <v>BlueStream Professional Services</v>
          </cell>
          <cell r="I23" t="str">
            <v>Install Commscope ION-M remote (indoor -wall mount)</v>
          </cell>
        </row>
        <row r="24">
          <cell r="C24" t="str">
            <v>Broken Arrow Communications</v>
          </cell>
          <cell r="I24" t="str">
            <v>Install TE expansion hub,  backboard</v>
          </cell>
        </row>
        <row r="25">
          <cell r="C25" t="str">
            <v>Building Network Solutions INC</v>
          </cell>
          <cell r="I25" t="str">
            <v>Install TE expansion hub, in existing rack</v>
          </cell>
        </row>
        <row r="26">
          <cell r="C26" t="str">
            <v>C SQUARED SYSTEMS LLC</v>
          </cell>
          <cell r="I26" t="str">
            <v>Install TE Remote,  backboard</v>
          </cell>
        </row>
        <row r="27">
          <cell r="C27" t="str">
            <v>COMMUNICATIONS TECHNOLOGY SERVICES LLC</v>
          </cell>
          <cell r="I27" t="str">
            <v>Install TE Remote, in existing rack</v>
          </cell>
        </row>
        <row r="28">
          <cell r="C28" t="str">
            <v>Concise Design INC</v>
          </cell>
          <cell r="I28" t="str">
            <v>Install TE remote above ceiling</v>
          </cell>
        </row>
        <row r="29">
          <cell r="C29" t="str">
            <v>CONNECTIVITY SOLUTIONS INC</v>
          </cell>
          <cell r="I29" t="str">
            <v>Install TE Prism remote outdoor</v>
          </cell>
        </row>
        <row r="30">
          <cell r="C30" t="str">
            <v>Connectivity Wireless INC</v>
          </cell>
          <cell r="I30" t="str">
            <v>Install TE Prism remote indoor -wall mount</v>
          </cell>
        </row>
        <row r="31">
          <cell r="C31" t="str">
            <v>Corning/Mobile Access</v>
          </cell>
          <cell r="I31" t="str">
            <v>Install cabinet/box for Remote</v>
          </cell>
        </row>
        <row r="32">
          <cell r="C32" t="str">
            <v>Creospan</v>
          </cell>
          <cell r="I32" t="str">
            <v>Paint cabinet/box for Remote</v>
          </cell>
        </row>
        <row r="33">
          <cell r="C33" t="str">
            <v>CSI COMMUNICATIONS SERVICES</v>
          </cell>
          <cell r="I33" t="str">
            <v>Install  Antenna, above ceiling</v>
          </cell>
        </row>
        <row r="34">
          <cell r="C34" t="str">
            <v>Dan Combs Consulting</v>
          </cell>
          <cell r="I34" t="str">
            <v>Install  Antenna, below ceiling</v>
          </cell>
        </row>
        <row r="35">
          <cell r="C35" t="str">
            <v>Deerfield Construction Group, Inc.</v>
          </cell>
          <cell r="I35" t="str">
            <v>Install  Antenna on hard wall</v>
          </cell>
        </row>
        <row r="36">
          <cell r="C36" t="str">
            <v>DOMITAL CORPORATION</v>
          </cell>
          <cell r="I36" t="str">
            <v>Install Antenna on pipe mount</v>
          </cell>
        </row>
        <row r="37">
          <cell r="C37" t="str">
            <v>Dynis LLC</v>
          </cell>
          <cell r="I37" t="str">
            <v>Develop and Install custom Antenna Mount</v>
          </cell>
        </row>
        <row r="38">
          <cell r="C38" t="str">
            <v>Ericsson</v>
          </cell>
          <cell r="I38" t="str">
            <v>Antenna azimuth change/down tilt</v>
          </cell>
        </row>
        <row r="39">
          <cell r="C39" t="str">
            <v>Genesis Networks Integration Services</v>
          </cell>
          <cell r="I39" t="str">
            <v>Weather proofing for Antenna</v>
          </cell>
        </row>
        <row r="40">
          <cell r="C40" t="str">
            <v>GIBSON TECHNICAL SERVICES INC</v>
          </cell>
          <cell r="I40" t="str">
            <v>RET Bias-T Install</v>
          </cell>
        </row>
        <row r="41">
          <cell r="C41" t="str">
            <v>Glotel USA, Inc.</v>
          </cell>
          <cell r="I41" t="str">
            <v>Tape Drops</v>
          </cell>
        </row>
        <row r="42">
          <cell r="C42" t="str">
            <v>Goodman Networks</v>
          </cell>
          <cell r="I42" t="str">
            <v>Antenna/Remote Adder driver for instances of height over 10-20'</v>
          </cell>
        </row>
        <row r="43">
          <cell r="C43" t="str">
            <v>Heartland Solutions Corp</v>
          </cell>
          <cell r="I43" t="str">
            <v>Antenna/Remote Adder driver for instances of height 20-50'</v>
          </cell>
        </row>
        <row r="44">
          <cell r="C44" t="str">
            <v>Interface Communications Co INC</v>
          </cell>
          <cell r="I44" t="str">
            <v>Antenna/Remote Adder driver for instances of height 50+'</v>
          </cell>
        </row>
        <row r="45">
          <cell r="C45" t="str">
            <v>Jacobs</v>
          </cell>
          <cell r="I45" t="str">
            <v>Antenna/Remote Adder driver Hard lid ceiling per antenna/remote installation</v>
          </cell>
        </row>
        <row r="46">
          <cell r="C46" t="str">
            <v>K &amp; M SYSTEMS INC</v>
          </cell>
          <cell r="I46" t="str">
            <v>Antenna/Remote Adder Asbestos abatement- per each</v>
          </cell>
        </row>
        <row r="47">
          <cell r="C47" t="str">
            <v>MCA Communications</v>
          </cell>
          <cell r="I47" t="str">
            <v>Antenna/Remote Adder Hospital environment including containment cart  (Hepa Cart) and work area containment</v>
          </cell>
        </row>
        <row r="48">
          <cell r="C48" t="str">
            <v>MCNEAL PROFESSIONAL SERVICES INC</v>
          </cell>
          <cell r="I48" t="str">
            <v>Antenna/Remote Adder labor -union/day shift</v>
          </cell>
        </row>
        <row r="49">
          <cell r="C49" t="str">
            <v>Microwave Transmission Systems INC</v>
          </cell>
          <cell r="I49" t="str">
            <v>Antenna/Remote Adder labor -union/night shift</v>
          </cell>
        </row>
        <row r="50">
          <cell r="C50" t="str">
            <v>Mountain Wireless</v>
          </cell>
          <cell r="I50" t="str">
            <v>Antenna/Remote Adder labor -non-union/night shift</v>
          </cell>
        </row>
        <row r="51">
          <cell r="C51" t="str">
            <v>Mycom</v>
          </cell>
          <cell r="I51" t="str">
            <v>Antenna/Remote Adder labor -union/ shift differential</v>
          </cell>
        </row>
        <row r="52">
          <cell r="C52" t="str">
            <v>NEOGENERATION WIRELESS SERVICES, LLC</v>
          </cell>
          <cell r="I52" t="str">
            <v>Connectorize cable  0.5" to0.99"</v>
          </cell>
        </row>
        <row r="53">
          <cell r="C53" t="str">
            <v>Nexius</v>
          </cell>
          <cell r="I53" t="str">
            <v>Connectorize cable 1" or greater</v>
          </cell>
        </row>
        <row r="54">
          <cell r="C54" t="str">
            <v>Nsoro MasTec, LLC</v>
          </cell>
          <cell r="I54" t="str">
            <v>Connectorize cable less that 0.5"</v>
          </cell>
        </row>
        <row r="55">
          <cell r="C55" t="str">
            <v>Optical &amp; Telecommunications Solutions INC</v>
          </cell>
          <cell r="I55" t="str">
            <v>Connectorize RG6/Ethernet cable</v>
          </cell>
        </row>
        <row r="56">
          <cell r="C56" t="str">
            <v>Peak Power Service INC</v>
          </cell>
          <cell r="I56" t="str">
            <v>Install metal pull box</v>
          </cell>
        </row>
        <row r="57">
          <cell r="C57" t="str">
            <v>Pierson Wireless Corporation</v>
          </cell>
          <cell r="I57" t="str">
            <v>Install Splitter/Combiner above ceiling/ in vertical space</v>
          </cell>
        </row>
        <row r="58">
          <cell r="C58" t="str">
            <v>Professional Teleconcepts</v>
          </cell>
          <cell r="I58" t="str">
            <v>Install and run first 5 ft. of  1" or greater cable in custom made soffit/ crown molding</v>
          </cell>
        </row>
        <row r="59">
          <cell r="C59" t="str">
            <v>RF Connect</v>
          </cell>
          <cell r="I59" t="str">
            <v>Install and run first 5 ft. of 0.5" to 0.99" cable in custom made soffit/ crown molding</v>
          </cell>
        </row>
        <row r="60">
          <cell r="C60" t="str">
            <v>Rizzo Consulting INC</v>
          </cell>
          <cell r="I60" t="str">
            <v>Install and run first 5 ft. of 0.5" to 0.99" cable in existing conduit</v>
          </cell>
        </row>
        <row r="61">
          <cell r="C61" t="str">
            <v>SAC Wireless LLC</v>
          </cell>
          <cell r="I61" t="str">
            <v>Install and run first 5 ft. of 0.5" to 0.99" cable in existing ladder rack/cable tray</v>
          </cell>
        </row>
        <row r="62">
          <cell r="C62" t="str">
            <v>SCE, Inc</v>
          </cell>
          <cell r="I62" t="str">
            <v>Install and run first 5 ft. of 0.5" to 0.99" cable in new clamps/ jhooks</v>
          </cell>
        </row>
        <row r="63">
          <cell r="C63" t="str">
            <v>Site Acquisitions Inc.</v>
          </cell>
          <cell r="I63" t="str">
            <v>Install and run first 5 ft. of 1" or greater cable in existing conduit</v>
          </cell>
        </row>
        <row r="64">
          <cell r="C64" t="str">
            <v>TELEWORLD SOLUTIONS</v>
          </cell>
          <cell r="I64" t="str">
            <v>Install and run first 5 ft. of 1" or greater cable in existing ladder rack/cable tray</v>
          </cell>
        </row>
        <row r="65">
          <cell r="C65" t="str">
            <v>Telnet</v>
          </cell>
          <cell r="I65" t="str">
            <v>Install and run first 5 ft. of 1" or greater cable in new clamps/ jhooks</v>
          </cell>
        </row>
        <row r="66">
          <cell r="C66" t="str">
            <v>Tempest</v>
          </cell>
          <cell r="I66" t="str">
            <v>Install and run first 5 ft. of less than 0.5" cable in existing conduit</v>
          </cell>
        </row>
        <row r="67">
          <cell r="C67" t="str">
            <v>Turnure Telecom LLC</v>
          </cell>
          <cell r="I67" t="str">
            <v>Install and run first 5 ft. of less than 0.5" cable in existing ladder rack/cable tray</v>
          </cell>
        </row>
        <row r="68">
          <cell r="C68" t="str">
            <v>TXR Global Technologies</v>
          </cell>
          <cell r="I68" t="str">
            <v>Install and run first 5 ft. of less than 0.5" cable in new clamps/ jhooks</v>
          </cell>
        </row>
        <row r="69">
          <cell r="C69" t="str">
            <v>Wigdahl Electric</v>
          </cell>
          <cell r="I69" t="str">
            <v>Install and run first 5 ft. of less the 0.5" cable in custom made soffit/ crown molding</v>
          </cell>
        </row>
        <row r="70">
          <cell r="C70"/>
          <cell r="I70" t="str">
            <v>Fiber cable connection to equipment/panels</v>
          </cell>
        </row>
        <row r="71">
          <cell r="C71"/>
          <cell r="I71" t="str">
            <v>Individual Fiber Splicing (1st fiber)</v>
          </cell>
        </row>
        <row r="72">
          <cell r="C72"/>
          <cell r="I72" t="str">
            <v>Individual Fiber Splicing (subsequent fibers at same location)</v>
          </cell>
        </row>
        <row r="73">
          <cell r="C73"/>
          <cell r="I73" t="str">
            <v>Ribbon Splicing (1st Ribbon)</v>
          </cell>
        </row>
        <row r="74">
          <cell r="C74"/>
          <cell r="I74" t="str">
            <v>Ribbon Splicing (subsequent ribbons at same location)</v>
          </cell>
        </row>
        <row r="75">
          <cell r="C75"/>
          <cell r="I75" t="str">
            <v>Composite cable dressing/ DC connections</v>
          </cell>
        </row>
        <row r="76">
          <cell r="C76"/>
          <cell r="I76" t="str">
            <v>Install &gt;2" EMT</v>
          </cell>
        </row>
        <row r="77">
          <cell r="C77"/>
          <cell r="I77" t="str">
            <v>Install 1-2" EMT</v>
          </cell>
        </row>
        <row r="78">
          <cell r="C78"/>
          <cell r="I78" t="str">
            <v>Install and run add'l foot  of 1" or greater cable in new clamps/ J-Hooks</v>
          </cell>
        </row>
        <row r="79">
          <cell r="C79"/>
          <cell r="I79" t="str">
            <v>Install and run add'l foot of 0.5" to 0.99" cable in custom made soffit/ crown molding</v>
          </cell>
        </row>
        <row r="80">
          <cell r="C80"/>
          <cell r="I80" t="str">
            <v>Install and run add'l foot of 0.5" to 0.99" cable in new clamps/ J-Hooks</v>
          </cell>
        </row>
        <row r="81">
          <cell r="C81"/>
          <cell r="I81" t="str">
            <v>Install and run add'l foot of 1" or greater cable in custom made soffit/ crown molding</v>
          </cell>
        </row>
        <row r="82">
          <cell r="C82"/>
          <cell r="I82" t="str">
            <v>Install and run add'l foot of less than 0.5" cable in custom made soffit/ crown molding</v>
          </cell>
        </row>
        <row r="83">
          <cell r="C83"/>
          <cell r="I83" t="str">
            <v>Install and run add'l foot of less than 0.5" cable in new clamps/ J-Hooks</v>
          </cell>
        </row>
        <row r="84">
          <cell r="C84"/>
          <cell r="I84" t="str">
            <v>Install and run add'l ft. of 0.5" to 0.99" cable in existing conduit</v>
          </cell>
        </row>
        <row r="85">
          <cell r="C85"/>
          <cell r="I85" t="str">
            <v>Install and run add'l ft. of 1" or greater cable in existing conduit</v>
          </cell>
        </row>
        <row r="86">
          <cell r="C86"/>
          <cell r="I86" t="str">
            <v>Install and run add'l ft. of less than 0.5" cable in existing conduit</v>
          </cell>
        </row>
        <row r="87">
          <cell r="C87"/>
          <cell r="I87" t="str">
            <v>Install and run add'l of 0.5" to 0.99" cable in existing ladder rack/cable tray</v>
          </cell>
        </row>
        <row r="88">
          <cell r="C88"/>
          <cell r="I88" t="str">
            <v>Install and run add'l of 1" or greater cable in existing ladder rack/cable tray</v>
          </cell>
        </row>
        <row r="89">
          <cell r="C89"/>
          <cell r="I89" t="str">
            <v>Install and run add'l of less than 0.5" cable in existing ladder rack/cable tray</v>
          </cell>
        </row>
        <row r="90">
          <cell r="C90"/>
          <cell r="I90" t="str">
            <v>Install Flex conduit</v>
          </cell>
        </row>
        <row r="91">
          <cell r="C91"/>
          <cell r="I91" t="str">
            <v>Install rigid conduit</v>
          </cell>
        </row>
        <row r="92">
          <cell r="C92"/>
          <cell r="I92" t="str">
            <v>Install seal tight conduit</v>
          </cell>
        </row>
        <row r="93">
          <cell r="C93"/>
          <cell r="I93" t="str">
            <v>Adder -Painting of support, cabling, or conduit in place</v>
          </cell>
        </row>
        <row r="94">
          <cell r="C94"/>
          <cell r="I94" t="str">
            <v>Cabling Adder driver for instances of height over 10-20'</v>
          </cell>
        </row>
        <row r="95">
          <cell r="C95"/>
          <cell r="I95" t="str">
            <v>Cabling Adder driver for instances of height 20+'</v>
          </cell>
        </row>
        <row r="96">
          <cell r="C96"/>
          <cell r="I96" t="str">
            <v>Cabling Adder driver Hard lid ceiling per linear foot</v>
          </cell>
        </row>
        <row r="97">
          <cell r="C97"/>
          <cell r="I97" t="str">
            <v>Cabling Adder Asbestos abatement- per linear foot</v>
          </cell>
        </row>
        <row r="98">
          <cell r="C98"/>
          <cell r="I98" t="str">
            <v>Cabling Adder Hospital environment including containment cart  (Hepa Cart) and work area containment</v>
          </cell>
        </row>
        <row r="99">
          <cell r="C99"/>
          <cell r="I99" t="str">
            <v>Cabling Adder labor -union/day shift</v>
          </cell>
        </row>
        <row r="100">
          <cell r="C100"/>
          <cell r="I100" t="str">
            <v>Cabling Adder labor -union/night shift</v>
          </cell>
        </row>
        <row r="101">
          <cell r="C101"/>
          <cell r="I101" t="str">
            <v>Cabling Adder labor -non-union/night shift</v>
          </cell>
        </row>
        <row r="102">
          <cell r="C102"/>
          <cell r="I102" t="str">
            <v>Cabling Adder labor -union/ shift differential</v>
          </cell>
        </row>
        <row r="103">
          <cell r="C103"/>
          <cell r="I103" t="str">
            <v>Directional Boring  - additional foot of boring * Post Set-up</v>
          </cell>
        </row>
        <row r="104">
          <cell r="C104"/>
          <cell r="I104" t="str">
            <v>Directional Boring -set up including first 5 feet * Set-up</v>
          </cell>
        </row>
        <row r="105">
          <cell r="C105"/>
          <cell r="I105" t="str">
            <v>Install Fence Gate</v>
          </cell>
        </row>
        <row r="106">
          <cell r="C106"/>
          <cell r="I106" t="str">
            <v>Install Fencing * Set-up</v>
          </cell>
        </row>
        <row r="107">
          <cell r="C107"/>
          <cell r="I107" t="str">
            <v>Trenching -set up including first 5 feet * Machine trench * Set-up</v>
          </cell>
        </row>
        <row r="108">
          <cell r="C108"/>
          <cell r="I108" t="str">
            <v>Hand Trenching - per foot * Hand trench</v>
          </cell>
        </row>
        <row r="109">
          <cell r="C109"/>
          <cell r="I109" t="str">
            <v>Install Fencing * Post Set-up</v>
          </cell>
        </row>
        <row r="110">
          <cell r="I110" t="str">
            <v>Trenching  - additional foot of trenching * Machine trench * Post Set-up</v>
          </cell>
        </row>
        <row r="111">
          <cell r="I111" t="str">
            <v>Asphalt cutting, removal, and restoration</v>
          </cell>
        </row>
        <row r="112">
          <cell r="I112" t="str">
            <v>Install Smoke Detector (not tied to building Alarm system)</v>
          </cell>
        </row>
        <row r="113">
          <cell r="I113" t="str">
            <v>Install Smoke Detector (tied into building Alarm system)</v>
          </cell>
        </row>
        <row r="114">
          <cell r="I114" t="str">
            <v>Plywood installation</v>
          </cell>
        </row>
        <row r="115">
          <cell r="I115" t="str">
            <v>Adder Outdoor cabinet installation</v>
          </cell>
        </row>
        <row r="116">
          <cell r="I116" t="str">
            <v>Civil- Adder Asbestos abatement- per linear foot</v>
          </cell>
        </row>
        <row r="117">
          <cell r="I117" t="str">
            <v>Civil- Adder driver for instances of height 20+'</v>
          </cell>
        </row>
        <row r="118">
          <cell r="I118" t="str">
            <v>Civil- Adder driver for instances of height over 10-20'</v>
          </cell>
        </row>
        <row r="119">
          <cell r="I119" t="str">
            <v>Civil- Adder driver Hard lid ceiling per linear foot</v>
          </cell>
        </row>
        <row r="120">
          <cell r="I120" t="str">
            <v>Civil- Adder Hospital environment including containment cart  (Hepa Cart) and work area containment</v>
          </cell>
        </row>
        <row r="121">
          <cell r="I121" t="str">
            <v>Civil- Adder labor -union/ shift differential</v>
          </cell>
        </row>
        <row r="122">
          <cell r="I122" t="str">
            <v>Civil- Adder labor -union/day shift</v>
          </cell>
        </row>
        <row r="123">
          <cell r="I123" t="str">
            <v>Civil-Adder labor -non-union/night shift</v>
          </cell>
        </row>
        <row r="124">
          <cell r="I124" t="str">
            <v>Civil-Adder labor -union/night shift</v>
          </cell>
        </row>
        <row r="125">
          <cell r="I125" t="str">
            <v>Install approved cable (etc.) between CCI Tray &amp; DAS Host (2 Per CCI Tray) up to 20' length</v>
          </cell>
        </row>
        <row r="126">
          <cell r="I126" t="str">
            <v>Install approved cable between RAN equipment and DAS HOST POI (no RF elements in path)  up to 20' length</v>
          </cell>
        </row>
        <row r="127">
          <cell r="I127" t="str">
            <v>Install approved cable between RAN equipment and DAS HOST POI (no RF elements in path) Greater that 20' up to 50' length</v>
          </cell>
        </row>
        <row r="128">
          <cell r="I128" t="str">
            <v>Install approved cable between CCI Tray &amp; DAS Host (2 Per CCI Tray)Greater that 20' up to 50' length</v>
          </cell>
        </row>
        <row r="129">
          <cell r="I129" t="str">
            <v>Install combiner/splitters in headend/IDF space</v>
          </cell>
        </row>
        <row r="130">
          <cell r="I130" t="str">
            <v>Install Fiber Jumper greater than 13 feet</v>
          </cell>
        </row>
        <row r="131">
          <cell r="I131" t="str">
            <v>Install Fiber Jumper up to 12 feet</v>
          </cell>
        </row>
        <row r="132">
          <cell r="I132" t="str">
            <v>Install RF Cable Jumper greater that 20' up to 50' length</v>
          </cell>
        </row>
        <row r="133">
          <cell r="I133" t="str">
            <v>Install RF Cable Jumper up to 20' length</v>
          </cell>
        </row>
        <row r="134">
          <cell r="I134" t="str">
            <v>Create structure to install ladder rack</v>
          </cell>
        </row>
        <row r="135">
          <cell r="I135" t="str">
            <v>Create structure to mount Cable tray to</v>
          </cell>
        </row>
        <row r="136">
          <cell r="I136" t="str">
            <v>Install Cable tray to exposed structure</v>
          </cell>
        </row>
        <row r="137">
          <cell r="I137" t="str">
            <v>Install Cable Tray to structure above existing ceiling</v>
          </cell>
        </row>
        <row r="138">
          <cell r="I138" t="str">
            <v>Install ladder rack to exposed structure</v>
          </cell>
        </row>
        <row r="139">
          <cell r="I139" t="str">
            <v>Install ladder rack to structure above existing ceiling</v>
          </cell>
        </row>
        <row r="140">
          <cell r="I140" t="str">
            <v>Installation of lid to ladder rack cable tray</v>
          </cell>
        </row>
        <row r="141">
          <cell r="I141" t="str">
            <v>Simple Radio Add</v>
          </cell>
        </row>
        <row r="142">
          <cell r="I142" t="str">
            <v>AC outlet installation</v>
          </cell>
        </row>
        <row r="143">
          <cell r="I143" t="str">
            <v>Additional Chemical Grounding Rods</v>
          </cell>
        </row>
        <row r="144">
          <cell r="I144" t="str">
            <v>Additional Metal Grounding Rods</v>
          </cell>
        </row>
        <row r="145">
          <cell r="I145" t="str">
            <v>Connectorize and connect Power/Grounding cables</v>
          </cell>
        </row>
        <row r="146">
          <cell r="I146" t="str">
            <v>Generator Receptacle Install</v>
          </cell>
        </row>
        <row r="147">
          <cell r="I147" t="str">
            <v>Grounding - Indoor Cabinet</v>
          </cell>
        </row>
        <row r="148">
          <cell r="I148" t="str">
            <v>Grounding - Outdoor Cabinet</v>
          </cell>
        </row>
        <row r="149">
          <cell r="I149" t="str">
            <v>Grounding System -outdoor site * Greenfield Site  * Standard Metal Rods</v>
          </cell>
        </row>
        <row r="150">
          <cell r="I150" t="str">
            <v>Grounding System -tie into existing indoor ground</v>
          </cell>
        </row>
        <row r="151">
          <cell r="I151" t="str">
            <v>Install AC Panel &amp; Breakers more than 36 breaker positions</v>
          </cell>
        </row>
        <row r="152">
          <cell r="I152" t="str">
            <v>Install AC Panel &amp; Breakers up to 36 breakers</v>
          </cell>
        </row>
        <row r="153">
          <cell r="I153" t="str">
            <v>Install Breakers into existing panel</v>
          </cell>
        </row>
        <row r="154">
          <cell r="I154" t="str">
            <v>Install Fuse Panel</v>
          </cell>
        </row>
        <row r="155">
          <cell r="I155" t="str">
            <v>Install light and switch installation</v>
          </cell>
        </row>
        <row r="156">
          <cell r="I156" t="str">
            <v>Install MGB (Main Ground Bar)</v>
          </cell>
        </row>
        <row r="157">
          <cell r="I157" t="str">
            <v>New Ground Bar  -On tower/pole (over 10')</v>
          </cell>
        </row>
        <row r="158">
          <cell r="I158" t="str">
            <v>AC Cabling - Sizes #16 AWG to #2 AWG</v>
          </cell>
        </row>
        <row r="159">
          <cell r="I159" t="str">
            <v>AC Cabling -MCM Sizes</v>
          </cell>
        </row>
        <row r="160">
          <cell r="I160" t="str">
            <v>AC Cabling -Sizes #1 AWG to 4/0 AWG</v>
          </cell>
        </row>
        <row r="161">
          <cell r="I161" t="str">
            <v>DC Cabling - MCM Sizes</v>
          </cell>
        </row>
        <row r="162">
          <cell r="I162" t="str">
            <v>DC Cabling and Telco/Fiber Cable Install (Combined) * Fiber * Sizes #16 AWG to #2 AWG * Vertical Applications</v>
          </cell>
        </row>
        <row r="163">
          <cell r="I163" t="str">
            <v>DC Cabling -Sizes #1 AWG to 4/0 AWG</v>
          </cell>
        </row>
        <row r="164">
          <cell r="I164" t="str">
            <v>DC Cabling -Sizes #16 AWG to #2 AWG</v>
          </cell>
        </row>
        <row r="165">
          <cell r="I165" t="str">
            <v>Provide and install CELL LOG book, chair, and broom</v>
          </cell>
        </row>
        <row r="166">
          <cell r="I166" t="str">
            <v>Feasibility review/ constructability study -</v>
          </cell>
        </row>
        <row r="167">
          <cell r="I167" t="str">
            <v>Add Add'l Card to DAS Equipment</v>
          </cell>
        </row>
        <row r="168">
          <cell r="I168" t="str">
            <v>Furnish and install  full rack  (19/23" rack) on existing concrete slab</v>
          </cell>
        </row>
        <row r="169">
          <cell r="I169" t="str">
            <v>Furnish and install  full rack  (19/23" rack) on existing raised floor</v>
          </cell>
        </row>
        <row r="170">
          <cell r="I170" t="str">
            <v>Furnish and install Bay, Concrete foundation</v>
          </cell>
        </row>
        <row r="171">
          <cell r="I171" t="str">
            <v>Furnish and install Bay, existing raised floor</v>
          </cell>
        </row>
        <row r="172">
          <cell r="I172" t="str">
            <v>Furnish and install empty cabinet</v>
          </cell>
        </row>
        <row r="173">
          <cell r="I173" t="str">
            <v>Furnish and install half rack (19/23" rack) on existing concrete slab</v>
          </cell>
        </row>
        <row r="174">
          <cell r="I174" t="str">
            <v>Furnish and install half rack (19/23" rack) on existing raised floor</v>
          </cell>
        </row>
        <row r="175">
          <cell r="I175" t="str">
            <v>Furnish and install half rack (19/23" rack) on existing wall</v>
          </cell>
        </row>
        <row r="176">
          <cell r="I176" t="str">
            <v>Install 19"/23" Power Plant in Existing Rack</v>
          </cell>
        </row>
        <row r="177">
          <cell r="I177" t="str">
            <v>Install 23" Battery Rack (additional to  power plant install)</v>
          </cell>
        </row>
        <row r="178">
          <cell r="I178" t="str">
            <v>Install 23" Rack With Power Plant (includes Battery tray Install)</v>
          </cell>
        </row>
        <row r="179">
          <cell r="I179" t="str">
            <v>Install a rack mounted DAS component non passive (e.g., Host Units, Mobile Access, Andrews, etc.)</v>
          </cell>
        </row>
        <row r="180">
          <cell r="I180" t="str">
            <v>Install a wall mounted DAS component non passive (e.g., Host Units, Mobile Access, Andrews, etc.)</v>
          </cell>
        </row>
        <row r="181">
          <cell r="I181" t="str">
            <v>Install additional Rectifiers</v>
          </cell>
        </row>
        <row r="182">
          <cell r="I182" t="str">
            <v>Install Battery string</v>
          </cell>
        </row>
        <row r="183">
          <cell r="I183" t="str">
            <v>Install Ericsson/ALU alarm panel</v>
          </cell>
        </row>
        <row r="184">
          <cell r="I184" t="str">
            <v>Install Fiber Panel/Fiber Management Panel, Rack Mount</v>
          </cell>
        </row>
        <row r="185">
          <cell r="I185" t="str">
            <v>Install Fiber Panel/Fiber Management Panel, Wall Mount</v>
          </cell>
        </row>
        <row r="186">
          <cell r="I186" t="str">
            <v>Install rack mounted passive DAS component (e.g.DAS trays, inline attenuator tray)</v>
          </cell>
        </row>
        <row r="187">
          <cell r="I187" t="str">
            <v>Install RAN Cabinet, Concrete Foundation</v>
          </cell>
        </row>
        <row r="188">
          <cell r="I188" t="str">
            <v>Install RAN Cabinet, Raised Floor</v>
          </cell>
        </row>
        <row r="189">
          <cell r="I189" t="str">
            <v>Install RAN Cabinet, Wall mount</v>
          </cell>
        </row>
        <row r="190">
          <cell r="I190" t="str">
            <v>Install RAN equipment base band units</v>
          </cell>
        </row>
        <row r="191">
          <cell r="I191" t="str">
            <v>Install RRH in or on rack or frame</v>
          </cell>
        </row>
        <row r="192">
          <cell r="I192" t="str">
            <v>Install RRH on wall</v>
          </cell>
        </row>
        <row r="193">
          <cell r="I193" t="str">
            <v>Install RRH to Uni Strut</v>
          </cell>
        </row>
        <row r="194">
          <cell r="I194" t="str">
            <v>Install SIAD -complete cabled system -additional</v>
          </cell>
        </row>
        <row r="195">
          <cell r="I195" t="str">
            <v>Install SIAD -complete cabled system -first</v>
          </cell>
        </row>
        <row r="196">
          <cell r="I196" t="str">
            <v>Install SIAD -no cabling -additional</v>
          </cell>
        </row>
        <row r="197">
          <cell r="I197" t="str">
            <v>Install SIAD -no cabling -first</v>
          </cell>
        </row>
        <row r="198">
          <cell r="I198" t="str">
            <v>Install small battery (24-100G21V or similar) string</v>
          </cell>
        </row>
        <row r="199">
          <cell r="I199" t="str">
            <v>Install wall mounted passive DAS component (e.g.DAS trays, inline attenuator tray)</v>
          </cell>
        </row>
        <row r="200">
          <cell r="I200" t="str">
            <v>Load SIAD scripts/ integrate SIAD -Additional</v>
          </cell>
        </row>
        <row r="201">
          <cell r="I201" t="str">
            <v>Load SIAD scripts/ integrate SIAD -First</v>
          </cell>
        </row>
        <row r="202">
          <cell r="I202" t="str">
            <v>Roundtrip to CSSL</v>
          </cell>
        </row>
        <row r="203">
          <cell r="I203" t="str">
            <v>Drill, CMU. 6" or less.</v>
          </cell>
        </row>
        <row r="204">
          <cell r="I204" t="str">
            <v>Drill, Sheet Rock. 6" or less</v>
          </cell>
        </row>
        <row r="205">
          <cell r="I205" t="str">
            <v>Core Drill, Solid concrete, Horizontal, 6" or less</v>
          </cell>
        </row>
        <row r="206">
          <cell r="I206" t="str">
            <v>Core Drill, Solid concrete, Horizontal, &gt; 6"</v>
          </cell>
        </row>
        <row r="207">
          <cell r="I207" t="str">
            <v>Core Drill, Solid concrete, Vertical, 6" or less</v>
          </cell>
        </row>
        <row r="208">
          <cell r="I208" t="str">
            <v>Core Drill, Solid concrete, Vertical, &gt; 6"</v>
          </cell>
        </row>
        <row r="209">
          <cell r="I209" t="str">
            <v>Install Pathway Sleeves in existing core</v>
          </cell>
        </row>
        <row r="210">
          <cell r="I210" t="str">
            <v>Adder -Sonar Scan</v>
          </cell>
        </row>
        <row r="211">
          <cell r="I211" t="str">
            <v>Decomm batteries</v>
          </cell>
        </row>
        <row r="212">
          <cell r="I212" t="str">
            <v>Decomm- bundle and return</v>
          </cell>
        </row>
        <row r="213">
          <cell r="I213" t="str">
            <v>Decomm DAS antennas</v>
          </cell>
        </row>
        <row r="214">
          <cell r="I214" t="str">
            <v>Decomm DAS remotes or Sub cabinet</v>
          </cell>
        </row>
        <row r="215">
          <cell r="I215" t="str">
            <v>Decomm RAN cabinets</v>
          </cell>
        </row>
        <row r="216">
          <cell r="I216" t="str">
            <v>Decomm- RHH</v>
          </cell>
        </row>
        <row r="217">
          <cell r="I217" t="str">
            <v>Decomm-Power plant</v>
          </cell>
        </row>
        <row r="218">
          <cell r="I218" t="str">
            <v>Decomm- Cable Tray</v>
          </cell>
        </row>
        <row r="219">
          <cell r="I219" t="str">
            <v>Decomm DAS cabling</v>
          </cell>
        </row>
        <row r="220">
          <cell r="I220" t="str">
            <v>Greenlight DAS and embed report in DICW</v>
          </cell>
        </row>
        <row r="221">
          <cell r="I221" t="str">
            <v>Coordination with RAN integrator for validation of RAN greenlighting/alarm free validation, UL/DL OSS validation</v>
          </cell>
        </row>
        <row r="222">
          <cell r="I222" t="str">
            <v>Baseline uplink noise floor testing - Per sector, per band, per path (mimo/siso)</v>
          </cell>
        </row>
        <row r="223">
          <cell r="I223" t="str">
            <v>Head end RF Continuity  (Dl/UL) - Per sector, per band, per path (mimo/siso)</v>
          </cell>
        </row>
        <row r="224">
          <cell r="I224" t="str">
            <v>Remote End RF Continuity (DL/UL) - Per sector, per band, per path (mimo/siso)</v>
          </cell>
        </row>
        <row r="225">
          <cell r="I225" t="str">
            <v>Calibrate// minimize UL noise - Per sector, per band, per path (mimo/siso)</v>
          </cell>
        </row>
        <row r="226">
          <cell r="I226" t="str">
            <v>Update DICW workbook and delivered with in 48 hours of DAS commissioning complete</v>
          </cell>
        </row>
        <row r="227">
          <cell r="I227" t="str">
            <v>RF call testing</v>
          </cell>
        </row>
        <row r="228">
          <cell r="I228" t="str">
            <v>Install roof top penetration</v>
          </cell>
        </row>
        <row r="229">
          <cell r="I229" t="str">
            <v>Install Rooftop Entry for Coax (aka Doghouse)</v>
          </cell>
        </row>
        <row r="230">
          <cell r="I230" t="str">
            <v>Install non-penetrating Sled with Mat/Block with Donor/GPS Antenna (outdoor)</v>
          </cell>
        </row>
        <row r="231">
          <cell r="I231" t="str">
            <v>Install  Mast Pipe with GPS or Donor Antenna (outdoor)</v>
          </cell>
        </row>
        <row r="232">
          <cell r="I232" t="str">
            <v>Install 1st Antenna or GPS on Existing Mount (outdoor)</v>
          </cell>
        </row>
        <row r="233">
          <cell r="I233" t="str">
            <v>Install 2+ Donor Antenna or GPS on Existing Mount (outdoor)</v>
          </cell>
        </row>
        <row r="234">
          <cell r="I234" t="str">
            <v>Install Wall Penetration with Entry Panel / Weather Boot (outdoor)</v>
          </cell>
        </row>
        <row r="235">
          <cell r="I235" t="str">
            <v>Install Polyphaser w/ Flange Mount and Grounding Kit (outdoor)</v>
          </cell>
        </row>
        <row r="236">
          <cell r="I236" t="str">
            <v>Install First Panel Antenna with skid/tripod/mast pipe (outdoor)</v>
          </cell>
        </row>
        <row r="237">
          <cell r="I237" t="str">
            <v>Install 2+ Panel Antenna to existing skid/tripod/mast pipe (outdoor)</v>
          </cell>
        </row>
        <row r="238">
          <cell r="I238" t="str">
            <v>Weather Proofing Roof (suggest subcontracting)</v>
          </cell>
        </row>
        <row r="239">
          <cell r="I239" t="str">
            <v>Install Rooftop Cable Protection (outdoor)</v>
          </cell>
        </row>
        <row r="240">
          <cell r="I240" t="str">
            <v>Install cable tray on sleepers include lid (outdoor)</v>
          </cell>
        </row>
        <row r="241">
          <cell r="I241" t="str">
            <v>Install conduit on sleepers</v>
          </cell>
        </row>
        <row r="242">
          <cell r="I242" t="str">
            <v>Rooftop work Adder driver paint to match linear foot (outdoor)</v>
          </cell>
        </row>
        <row r="243">
          <cell r="I243" t="str">
            <v>Rooftop work Adder driver paint to match antenna/ stand (outdoor)</v>
          </cell>
        </row>
        <row r="244">
          <cell r="I244" t="str">
            <v>Rooftop work Adder driver paint to match linear foot (indoor)</v>
          </cell>
        </row>
        <row r="245">
          <cell r="I245" t="str">
            <v>Rooftop work Adder driver paint to match antenna/ stand (indoor)</v>
          </cell>
        </row>
        <row r="246">
          <cell r="I246" t="str">
            <v>Installation and Alarming -external dry contact alarming</v>
          </cell>
        </row>
        <row r="247">
          <cell r="I247" t="str">
            <v>Test, Certify Ethernet Cable</v>
          </cell>
        </row>
        <row r="248">
          <cell r="I248" t="str">
            <v>Test Fiber, &lt; 100 strands</v>
          </cell>
        </row>
        <row r="249">
          <cell r="I249" t="str">
            <v>Test Fiber, 100 - 500 stands</v>
          </cell>
        </row>
        <row r="250">
          <cell r="I250" t="str">
            <v>Test Fiber, &gt; 500 stands</v>
          </cell>
        </row>
        <row r="251">
          <cell r="I251" t="str">
            <v>Install SNMP Switch &amp; Alarm Testing</v>
          </cell>
        </row>
        <row r="252">
          <cell r="I252" t="str">
            <v>PIM Test -system PIM test only on remote side</v>
          </cell>
        </row>
        <row r="253">
          <cell r="I253" t="str">
            <v>Sweep Test -DAS remote out to antenna</v>
          </cell>
        </row>
        <row r="254">
          <cell r="I254" t="str">
            <v>RF call testing</v>
          </cell>
        </row>
        <row r="255">
          <cell r="I255" t="str">
            <v>PIM Test -individual cable only in head end room</v>
          </cell>
        </row>
        <row r="256">
          <cell r="I256" t="str">
            <v>Sweep Test -head end location cables</v>
          </cell>
        </row>
        <row r="257">
          <cell r="I257" t="str">
            <v>Block Diagram (UL/DL diagram)</v>
          </cell>
        </row>
        <row r="258">
          <cell r="I258" t="str">
            <v>RAN/CABLE testing - BTS to POI</v>
          </cell>
        </row>
        <row r="259">
          <cell r="I259" t="str">
            <v>Commissioning/”Green lighting” of DAS system</v>
          </cell>
        </row>
        <row r="260">
          <cell r="I260"/>
        </row>
        <row r="261">
          <cell r="I261"/>
        </row>
        <row r="262">
          <cell r="I262"/>
        </row>
        <row r="263">
          <cell r="I263"/>
        </row>
        <row r="264">
          <cell r="I264"/>
        </row>
        <row r="265">
          <cell r="I265"/>
        </row>
        <row r="266">
          <cell r="I266"/>
        </row>
        <row r="267">
          <cell r="I267"/>
        </row>
        <row r="268">
          <cell r="I268"/>
        </row>
        <row r="269">
          <cell r="I269"/>
        </row>
        <row r="270">
          <cell r="I270"/>
        </row>
        <row r="271">
          <cell r="I271"/>
        </row>
        <row r="272">
          <cell r="I272"/>
        </row>
        <row r="273">
          <cell r="I273"/>
        </row>
        <row r="274">
          <cell r="I274"/>
        </row>
        <row r="275">
          <cell r="I275"/>
        </row>
        <row r="276">
          <cell r="I276"/>
        </row>
        <row r="277">
          <cell r="I277"/>
        </row>
        <row r="278">
          <cell r="I278"/>
        </row>
        <row r="279">
          <cell r="I279"/>
        </row>
        <row r="280">
          <cell r="I280"/>
        </row>
        <row r="281">
          <cell r="I281"/>
        </row>
        <row r="282">
          <cell r="I282"/>
        </row>
        <row r="283">
          <cell r="I283"/>
        </row>
        <row r="284">
          <cell r="I284"/>
        </row>
        <row r="285">
          <cell r="I285"/>
        </row>
        <row r="286">
          <cell r="I286"/>
        </row>
        <row r="287">
          <cell r="I287"/>
        </row>
        <row r="288">
          <cell r="I288"/>
        </row>
        <row r="289">
          <cell r="I289"/>
        </row>
        <row r="290">
          <cell r="I290"/>
        </row>
        <row r="291">
          <cell r="I291"/>
        </row>
        <row r="292">
          <cell r="I292"/>
        </row>
        <row r="293">
          <cell r="I293"/>
        </row>
        <row r="294">
          <cell r="I294"/>
        </row>
        <row r="295">
          <cell r="I295"/>
        </row>
        <row r="296">
          <cell r="I296"/>
        </row>
        <row r="297">
          <cell r="I297"/>
        </row>
        <row r="298">
          <cell r="I298"/>
        </row>
        <row r="299">
          <cell r="I299"/>
        </row>
        <row r="300">
          <cell r="I300"/>
        </row>
        <row r="301">
          <cell r="I301"/>
        </row>
        <row r="302">
          <cell r="I302"/>
        </row>
        <row r="303">
          <cell r="I303"/>
        </row>
        <row r="304">
          <cell r="I304"/>
        </row>
        <row r="305">
          <cell r="I305"/>
        </row>
        <row r="306">
          <cell r="I306"/>
        </row>
        <row r="307">
          <cell r="I307"/>
        </row>
        <row r="308">
          <cell r="I308"/>
        </row>
        <row r="309">
          <cell r="I309"/>
        </row>
        <row r="310">
          <cell r="I310"/>
        </row>
        <row r="311">
          <cell r="I311"/>
        </row>
        <row r="312">
          <cell r="I312"/>
        </row>
        <row r="313">
          <cell r="I313"/>
        </row>
        <row r="314">
          <cell r="I314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dateFile"/>
      <sheetName val="ASGVolumes"/>
      <sheetName val="ASGToolPrice"/>
      <sheetName val="Num1Supplier"/>
      <sheetName val="Sheet4"/>
      <sheetName val="AllBids"/>
      <sheetName val="BidCompare"/>
      <sheetName val="BestBidRanks"/>
      <sheetName val="Sheet1"/>
      <sheetName val="BGCalcs"/>
      <sheetName val="Holistic 1"/>
      <sheetName val="Holistic 2"/>
      <sheetName val="Prime 1"/>
      <sheetName val="Prime 2"/>
      <sheetName val="Prime 1,2"/>
      <sheetName val="Prime 3"/>
      <sheetName val="ThirdBestMap (2)"/>
      <sheetName val="Overflow 1"/>
      <sheetName val="Overflow 2"/>
      <sheetName val="Overflow 3"/>
      <sheetName val="Blending"/>
      <sheetName val="Readout"/>
      <sheetName val="Sheet2"/>
      <sheetName val="Sheet3"/>
      <sheetName val="SelectedBids"/>
      <sheetName val="HighOutliers"/>
      <sheetName val="LowExplore"/>
      <sheetName val="OriginalVolumes"/>
      <sheetName val="ReplacedBids"/>
      <sheetName val="Original Bids"/>
      <sheetName val="New Bids"/>
      <sheetName val="SelectedVendorBids"/>
      <sheetName val="Sheet6"/>
    </sheetNames>
    <sheetDataSet>
      <sheetData sheetId="0"/>
      <sheetData sheetId="1"/>
      <sheetData sheetId="2">
        <row r="2">
          <cell r="A2" t="str">
            <v>Large Hospitals</v>
          </cell>
        </row>
      </sheetData>
      <sheetData sheetId="3">
        <row r="5">
          <cell r="B5" t="str">
            <v>EPA</v>
          </cell>
        </row>
        <row r="6">
          <cell r="B6" t="str">
            <v>N.ENG</v>
          </cell>
        </row>
        <row r="7">
          <cell r="B7" t="str">
            <v>UNY</v>
          </cell>
        </row>
        <row r="8">
          <cell r="B8" t="str">
            <v>VA/WV</v>
          </cell>
        </row>
        <row r="9">
          <cell r="B9" t="str">
            <v>WA/BA</v>
          </cell>
        </row>
        <row r="10">
          <cell r="B10" t="str">
            <v>NYC/NNJ</v>
          </cell>
        </row>
        <row r="11">
          <cell r="B11" t="str">
            <v>IL/WI</v>
          </cell>
        </row>
        <row r="12">
          <cell r="B12" t="str">
            <v>MI/IN</v>
          </cell>
        </row>
        <row r="13">
          <cell r="B13" t="str">
            <v>MNP</v>
          </cell>
        </row>
        <row r="14">
          <cell r="B14" t="str">
            <v>OH/PA</v>
          </cell>
        </row>
        <row r="15">
          <cell r="B15" t="str">
            <v>Chicagoland</v>
          </cell>
        </row>
        <row r="16">
          <cell r="B16" t="str">
            <v>MO/KS</v>
          </cell>
        </row>
        <row r="17">
          <cell r="B17" t="str">
            <v>NTX</v>
          </cell>
        </row>
        <row r="18">
          <cell r="B18" t="str">
            <v>OK/AR</v>
          </cell>
        </row>
        <row r="19">
          <cell r="B19" t="str">
            <v>STX</v>
          </cell>
        </row>
        <row r="20">
          <cell r="B20" t="str">
            <v>AL/MS/LA</v>
          </cell>
        </row>
        <row r="21">
          <cell r="B21" t="str">
            <v>Carolinas</v>
          </cell>
        </row>
        <row r="22">
          <cell r="B22" t="str">
            <v>GA</v>
          </cell>
        </row>
        <row r="23">
          <cell r="B23" t="str">
            <v>NFL</v>
          </cell>
        </row>
        <row r="24">
          <cell r="B24" t="str">
            <v>SFL</v>
          </cell>
        </row>
        <row r="25">
          <cell r="B25" t="str">
            <v>TN/KY</v>
          </cell>
        </row>
        <row r="26">
          <cell r="B26" t="str">
            <v>PR/USVI</v>
          </cell>
        </row>
        <row r="27">
          <cell r="B27" t="str">
            <v>DSW</v>
          </cell>
        </row>
        <row r="28">
          <cell r="B28" t="str">
            <v>RMR</v>
          </cell>
        </row>
        <row r="29">
          <cell r="B29" t="str">
            <v>PNW</v>
          </cell>
        </row>
        <row r="30">
          <cell r="B30" t="str">
            <v>LV</v>
          </cell>
        </row>
        <row r="31">
          <cell r="B31" t="str">
            <v>LA/SD</v>
          </cell>
        </row>
        <row r="32">
          <cell r="B32" t="str">
            <v>N.Cal</v>
          </cell>
        </row>
        <row r="33">
          <cell r="B33" t="str">
            <v>Alaska</v>
          </cell>
        </row>
        <row r="34">
          <cell r="B34" t="str">
            <v>Hawaii</v>
          </cell>
        </row>
      </sheetData>
      <sheetData sheetId="4"/>
      <sheetData sheetId="5"/>
      <sheetData sheetId="6"/>
      <sheetData sheetId="7"/>
      <sheetData sheetId="8"/>
      <sheetData sheetId="9">
        <row r="2">
          <cell r="C2" t="str">
            <v>EPA</v>
          </cell>
          <cell r="D2" t="str">
            <v>N.ENG</v>
          </cell>
          <cell r="E2" t="str">
            <v>UNY</v>
          </cell>
          <cell r="F2" t="str">
            <v>VA/WV</v>
          </cell>
          <cell r="G2" t="str">
            <v>WA/BA</v>
          </cell>
          <cell r="H2" t="str">
            <v>NYC/NNJ</v>
          </cell>
          <cell r="I2" t="str">
            <v>IL/WI</v>
          </cell>
          <cell r="J2" t="str">
            <v>MI/IN</v>
          </cell>
          <cell r="K2" t="str">
            <v>MNP</v>
          </cell>
          <cell r="L2" t="str">
            <v>OH/PA</v>
          </cell>
          <cell r="M2" t="str">
            <v>Chicagoland</v>
          </cell>
          <cell r="N2" t="str">
            <v>MO/KS</v>
          </cell>
          <cell r="O2" t="str">
            <v>NTX</v>
          </cell>
          <cell r="P2" t="str">
            <v>OK/AR</v>
          </cell>
          <cell r="Q2" t="str">
            <v>STX</v>
          </cell>
          <cell r="R2" t="str">
            <v>AL/MS/LA</v>
          </cell>
          <cell r="S2" t="str">
            <v>Carolinas</v>
          </cell>
          <cell r="T2" t="str">
            <v>GA</v>
          </cell>
          <cell r="U2" t="str">
            <v>NFL</v>
          </cell>
          <cell r="V2" t="str">
            <v>SFL</v>
          </cell>
          <cell r="W2" t="str">
            <v>TN/KY</v>
          </cell>
          <cell r="X2" t="str">
            <v>PR/USVI</v>
          </cell>
          <cell r="Y2" t="str">
            <v>DSW</v>
          </cell>
          <cell r="Z2" t="str">
            <v>RMR</v>
          </cell>
          <cell r="AA2" t="str">
            <v>PNW</v>
          </cell>
          <cell r="AB2" t="str">
            <v>LV</v>
          </cell>
          <cell r="AC2" t="str">
            <v>LA/SD</v>
          </cell>
          <cell r="AD2" t="str">
            <v>N.Cal</v>
          </cell>
          <cell r="AE2" t="str">
            <v>Alaska</v>
          </cell>
          <cell r="AF2" t="str">
            <v>Hawaii</v>
          </cell>
        </row>
        <row r="3">
          <cell r="B3" t="str">
            <v>Holstic Mix</v>
          </cell>
          <cell r="C3" t="str">
            <v>Goodman Networks</v>
          </cell>
          <cell r="D3" t="str">
            <v>Goodman Networks</v>
          </cell>
          <cell r="E3" t="str">
            <v>Goodman Networks</v>
          </cell>
          <cell r="F3" t="str">
            <v>CONNECTIVITY SOLUTIONS INC</v>
          </cell>
          <cell r="G3" t="str">
            <v>CONNECTIVITY SOLUTIONS INC</v>
          </cell>
          <cell r="H3" t="str">
            <v>Goodman Networks</v>
          </cell>
          <cell r="I3" t="str">
            <v>BlueStream Professional Services</v>
          </cell>
          <cell r="J3" t="str">
            <v>Goodman Networks</v>
          </cell>
          <cell r="K3" t="str">
            <v>BlueStream Professional Services</v>
          </cell>
          <cell r="L3" t="str">
            <v>BlueStream Professional Services</v>
          </cell>
          <cell r="M3" t="str">
            <v>BlueStream Professional Services</v>
          </cell>
          <cell r="N3" t="str">
            <v>Tempest</v>
          </cell>
          <cell r="O3" t="str">
            <v>BlueStream Professional Services</v>
          </cell>
          <cell r="P3" t="str">
            <v>BlueStream Professional Services</v>
          </cell>
          <cell r="Q3" t="str">
            <v>Tempest</v>
          </cell>
          <cell r="R3" t="str">
            <v>MCNEAL PROFESSIONAL SERVICES INC</v>
          </cell>
          <cell r="S3" t="str">
            <v>Peak Power Service INC</v>
          </cell>
          <cell r="T3" t="str">
            <v>MCNEAL PROFESSIONAL SERVICES INC</v>
          </cell>
          <cell r="U3" t="str">
            <v>MCNEAL PROFESSIONAL SERVICES INC</v>
          </cell>
          <cell r="V3" t="str">
            <v>MCNEAL PROFESSIONAL SERVICES INC</v>
          </cell>
          <cell r="W3" t="str">
            <v>MCNEAL PROFESSIONAL SERVICES INC</v>
          </cell>
          <cell r="X3" t="str">
            <v>CONNECTIVITY SOLUTIONS INC</v>
          </cell>
          <cell r="Y3" t="str">
            <v>Interface Communications Co INC</v>
          </cell>
          <cell r="Z3" t="str">
            <v>Interface Communications Co INC</v>
          </cell>
          <cell r="AA3" t="str">
            <v>Turnure Telecom LLC</v>
          </cell>
          <cell r="AB3" t="str">
            <v>GIBSON TECHNICAL SERVICES INC</v>
          </cell>
          <cell r="AC3" t="str">
            <v>ARQ</v>
          </cell>
          <cell r="AD3" t="str">
            <v>Turnure Telecom LLC</v>
          </cell>
          <cell r="AE3" t="str">
            <v>Turnure Telecom LLC</v>
          </cell>
          <cell r="AF3" t="str">
            <v>Corning/Mobile Access</v>
          </cell>
        </row>
        <row r="4">
          <cell r="B4" t="str">
            <v>Prime 1</v>
          </cell>
          <cell r="C4" t="str">
            <v>Dynis LLC</v>
          </cell>
          <cell r="D4" t="str">
            <v>COMMUNICATIONS TECHNOLOGY SERVICES LLC</v>
          </cell>
          <cell r="E4" t="str">
            <v>C SQUARED SYSTEMS LLC</v>
          </cell>
          <cell r="F4" t="str">
            <v>Dynis LLC</v>
          </cell>
          <cell r="G4" t="str">
            <v>COMMUNICATIONS TECHNOLOGY SERVICES LLC</v>
          </cell>
          <cell r="H4" t="str">
            <v>COMMUNICATIONS TECHNOLOGY SERVICES LLC</v>
          </cell>
          <cell r="I4" t="str">
            <v>BlueStream Professional Services</v>
          </cell>
          <cell r="J4" t="str">
            <v>Goodman Networks</v>
          </cell>
          <cell r="K4" t="str">
            <v>BlueStream Professional Services</v>
          </cell>
          <cell r="L4" t="str">
            <v>BlueStream Professional Services</v>
          </cell>
          <cell r="M4" t="str">
            <v>COMMUNICATIONS TECHNOLOGY SERVICES LLC</v>
          </cell>
          <cell r="N4" t="str">
            <v>Goodman Networks</v>
          </cell>
          <cell r="O4" t="str">
            <v>Tempest</v>
          </cell>
          <cell r="P4" t="str">
            <v>Tempest</v>
          </cell>
          <cell r="Q4" t="str">
            <v>BlueStream Professional Services</v>
          </cell>
          <cell r="R4" t="str">
            <v>GIBSON TECHNICAL SERVICES INC</v>
          </cell>
          <cell r="S4" t="str">
            <v>Peak Power Service INC</v>
          </cell>
          <cell r="T4" t="str">
            <v>Optical &amp; Telecommunications Solutions INC</v>
          </cell>
          <cell r="U4" t="str">
            <v>COMMUNICATIONS TECHNOLOGY SERVICES LLC</v>
          </cell>
          <cell r="V4" t="str">
            <v>Peak Power Service INC</v>
          </cell>
          <cell r="W4" t="str">
            <v>GIBSON TECHNICAL SERVICES INC</v>
          </cell>
          <cell r="X4" t="str">
            <v>Nsoro MasTec, LLC</v>
          </cell>
          <cell r="Y4" t="str">
            <v>Interface Communications Co INC</v>
          </cell>
          <cell r="Z4" t="str">
            <v>Interface Communications Co INC</v>
          </cell>
          <cell r="AA4" t="str">
            <v>Turnure Telecom LLC</v>
          </cell>
          <cell r="AB4" t="str">
            <v>COMMUNICATIONS TECHNOLOGY SERVICES LLC</v>
          </cell>
          <cell r="AC4" t="str">
            <v>Goodman Networks</v>
          </cell>
          <cell r="AD4" t="str">
            <v>COMMUNICATIONS TECHNOLOGY SERVICES LLC</v>
          </cell>
          <cell r="AE4" t="str">
            <v>Corning/Mobile Access</v>
          </cell>
          <cell r="AF4" t="str">
            <v>Corning/Mobile Access</v>
          </cell>
        </row>
        <row r="5">
          <cell r="B5" t="str">
            <v>Prime 2</v>
          </cell>
          <cell r="C5" t="str">
            <v>Rizzo Consulting INC</v>
          </cell>
          <cell r="D5" t="str">
            <v>Goodman Networks</v>
          </cell>
          <cell r="E5" t="str">
            <v>???</v>
          </cell>
          <cell r="F5" t="str">
            <v>???</v>
          </cell>
          <cell r="G5" t="str">
            <v>CONNECTIVITY SOLUTIONS INC</v>
          </cell>
          <cell r="H5" t="str">
            <v>Goodman Networks</v>
          </cell>
          <cell r="I5" t="str">
            <v>Connectivity Wireless INC</v>
          </cell>
          <cell r="J5" t="str">
            <v>Heartland Solutions Corp</v>
          </cell>
          <cell r="K5" t="str">
            <v>Rizzo Consulting INC</v>
          </cell>
          <cell r="L5" t="str">
            <v>Goodman Networks</v>
          </cell>
          <cell r="M5" t="str">
            <v>BlueStream Professional Services</v>
          </cell>
          <cell r="N5" t="str">
            <v>Tempest</v>
          </cell>
          <cell r="O5" t="str">
            <v>Goodman Networks</v>
          </cell>
          <cell r="P5" t="str">
            <v>Goodman Networks</v>
          </cell>
          <cell r="Q5" t="str">
            <v>Goodman Networks</v>
          </cell>
          <cell r="R5" t="str">
            <v>Optical &amp; Telecommunications Solutions INC</v>
          </cell>
          <cell r="S5" t="str">
            <v>Optical &amp; Telecommunications Solutions INC</v>
          </cell>
          <cell r="T5" t="str">
            <v>GIBSON TECHNICAL SERVICES INC</v>
          </cell>
          <cell r="U5" t="str">
            <v>Peak Power Service INC</v>
          </cell>
          <cell r="V5" t="str">
            <v>COMMUNICATIONS TECHNOLOGY SERVICES LLC</v>
          </cell>
          <cell r="W5" t="str">
            <v>???</v>
          </cell>
          <cell r="X5" t="str">
            <v>???</v>
          </cell>
          <cell r="Y5" t="str">
            <v>ARQ</v>
          </cell>
          <cell r="Z5" t="str">
            <v>Tempest</v>
          </cell>
          <cell r="AA5" t="str">
            <v>COMMUNICATIONS TECHNOLOGY SERVICES LLC</v>
          </cell>
          <cell r="AB5" t="str">
            <v>Goodman Networks</v>
          </cell>
          <cell r="AC5" t="str">
            <v>Tempest</v>
          </cell>
          <cell r="AD5" t="str">
            <v>Turnure Telecom LLC</v>
          </cell>
          <cell r="AE5" t="str">
            <v>???</v>
          </cell>
          <cell r="AF5" t="str">
            <v>???</v>
          </cell>
        </row>
        <row r="6">
          <cell r="B6" t="str">
            <v>Prime 3</v>
          </cell>
          <cell r="C6" t="str">
            <v>???</v>
          </cell>
          <cell r="D6" t="str">
            <v>???</v>
          </cell>
          <cell r="E6" t="str">
            <v>???</v>
          </cell>
          <cell r="F6" t="str">
            <v>???</v>
          </cell>
          <cell r="G6" t="str">
            <v>Dynis LLC</v>
          </cell>
          <cell r="H6" t="str">
            <v>C SQUARED SYSTEMS LLC</v>
          </cell>
          <cell r="I6" t="str">
            <v>???</v>
          </cell>
          <cell r="J6" t="str">
            <v>Black &amp; Veatch</v>
          </cell>
          <cell r="K6" t="str">
            <v>???</v>
          </cell>
          <cell r="L6" t="str">
            <v>???</v>
          </cell>
          <cell r="M6" t="str">
            <v>Rizzo Consulting INC</v>
          </cell>
          <cell r="N6" t="str">
            <v>???</v>
          </cell>
          <cell r="O6" t="str">
            <v>???</v>
          </cell>
          <cell r="P6" t="str">
            <v>???</v>
          </cell>
          <cell r="Q6" t="str">
            <v>Tempest</v>
          </cell>
          <cell r="R6" t="str">
            <v>???</v>
          </cell>
          <cell r="S6" t="str">
            <v>???</v>
          </cell>
          <cell r="T6" t="str">
            <v>???</v>
          </cell>
          <cell r="U6" t="str">
            <v>???</v>
          </cell>
          <cell r="V6" t="str">
            <v>???</v>
          </cell>
          <cell r="W6" t="str">
            <v>???</v>
          </cell>
          <cell r="X6" t="str">
            <v>???</v>
          </cell>
          <cell r="Y6" t="str">
            <v>???</v>
          </cell>
          <cell r="Z6" t="str">
            <v>Goodman Networks</v>
          </cell>
          <cell r="AA6" t="str">
            <v>BlueStream Professional Services</v>
          </cell>
          <cell r="AB6" t="str">
            <v>Rizzo Consulting INC</v>
          </cell>
          <cell r="AC6" t="str">
            <v>ARQ</v>
          </cell>
          <cell r="AD6" t="str">
            <v>BlueStream Professional Services</v>
          </cell>
          <cell r="AE6" t="str">
            <v>???</v>
          </cell>
          <cell r="AF6" t="str">
            <v>???</v>
          </cell>
        </row>
        <row r="7">
          <cell r="B7" t="str">
            <v>Overflow 1</v>
          </cell>
          <cell r="C7" t="str">
            <v>Goodman Networks</v>
          </cell>
          <cell r="D7" t="str">
            <v>CONNECTIVITY SOLUTIONS INC</v>
          </cell>
          <cell r="E7" t="str">
            <v>Goodman Networks</v>
          </cell>
          <cell r="F7" t="str">
            <v>COMMUNICATIONS TECHNOLOGY SERVICES LLC</v>
          </cell>
          <cell r="G7" t="str">
            <v>Goodman Networks</v>
          </cell>
          <cell r="H7" t="str">
            <v>CONNECTIVITY SOLUTIONS INC</v>
          </cell>
          <cell r="I7" t="str">
            <v>Black &amp; Veatch</v>
          </cell>
          <cell r="J7" t="str">
            <v>Rizzo Consulting INC</v>
          </cell>
          <cell r="K7" t="str">
            <v>Black &amp; Veatch</v>
          </cell>
          <cell r="L7" t="str">
            <v>Rizzo Consulting INC</v>
          </cell>
          <cell r="M7" t="str">
            <v>Goodman Networks</v>
          </cell>
          <cell r="N7" t="str">
            <v>BlueStream Professional Services</v>
          </cell>
          <cell r="O7" t="str">
            <v>Microwave Transmission Systems INC</v>
          </cell>
          <cell r="P7" t="str">
            <v>BlueStream Professional Services</v>
          </cell>
          <cell r="Q7" t="str">
            <v>Microwave Transmission Systems INC</v>
          </cell>
          <cell r="R7" t="str">
            <v>COMMUNICATIONS TECHNOLOGY SERVICES LLC</v>
          </cell>
          <cell r="S7" t="str">
            <v>Tempest</v>
          </cell>
          <cell r="T7" t="str">
            <v>COMMUNICATIONS TECHNOLOGY SERVICES LLC</v>
          </cell>
          <cell r="U7" t="str">
            <v>Optical &amp; Telecommunications Solutions INC</v>
          </cell>
          <cell r="V7" t="str">
            <v>Optical &amp; Telecommunications Solutions INC</v>
          </cell>
          <cell r="W7" t="str">
            <v>COMMUNICATIONS TECHNOLOGY SERVICES LLC</v>
          </cell>
          <cell r="X7" t="str">
            <v>Genesis Networks Integration Services</v>
          </cell>
          <cell r="Y7" t="str">
            <v>Tempest</v>
          </cell>
          <cell r="Z7" t="str">
            <v>BlueStream Professional Services</v>
          </cell>
          <cell r="AA7" t="str">
            <v>Tempest</v>
          </cell>
          <cell r="AB7" t="str">
            <v>Black &amp; Veatch</v>
          </cell>
          <cell r="AC7" t="str">
            <v>COMMUNICATIONS TECHNOLOGY SERVICES LLC</v>
          </cell>
          <cell r="AD7" t="str">
            <v>Goodman Networks</v>
          </cell>
          <cell r="AE7" t="str">
            <v>???</v>
          </cell>
          <cell r="AF7" t="str">
            <v>???</v>
          </cell>
        </row>
        <row r="9">
          <cell r="C9" t="str">
            <v>EPA</v>
          </cell>
          <cell r="D9" t="str">
            <v>N.ENG</v>
          </cell>
          <cell r="E9" t="str">
            <v>UNY</v>
          </cell>
          <cell r="F9" t="str">
            <v>VA/WV</v>
          </cell>
          <cell r="G9" t="str">
            <v>WA/BA</v>
          </cell>
          <cell r="H9" t="str">
            <v>NYC/NNJ</v>
          </cell>
          <cell r="I9" t="str">
            <v>IL/WI</v>
          </cell>
          <cell r="J9" t="str">
            <v>MI/IN</v>
          </cell>
          <cell r="K9" t="str">
            <v>MNP</v>
          </cell>
          <cell r="L9" t="str">
            <v>OH/PA</v>
          </cell>
          <cell r="M9" t="str">
            <v>Chicagoland</v>
          </cell>
          <cell r="N9" t="str">
            <v>MO/KS</v>
          </cell>
          <cell r="O9" t="str">
            <v>NTX</v>
          </cell>
          <cell r="P9" t="str">
            <v>OK/AR</v>
          </cell>
          <cell r="Q9" t="str">
            <v>STX</v>
          </cell>
          <cell r="R9" t="str">
            <v>AL/MS/LA</v>
          </cell>
          <cell r="S9" t="str">
            <v>Carolinas</v>
          </cell>
          <cell r="T9" t="str">
            <v>GA</v>
          </cell>
          <cell r="U9" t="str">
            <v>NFL</v>
          </cell>
          <cell r="V9" t="str">
            <v>SFL</v>
          </cell>
          <cell r="W9" t="str">
            <v>TN/KY</v>
          </cell>
          <cell r="X9" t="str">
            <v>PR/USVI</v>
          </cell>
          <cell r="Y9" t="str">
            <v>DSW</v>
          </cell>
          <cell r="Z9" t="str">
            <v>RMR</v>
          </cell>
          <cell r="AA9" t="str">
            <v>PNW</v>
          </cell>
          <cell r="AB9" t="str">
            <v>LV</v>
          </cell>
          <cell r="AC9" t="str">
            <v>LA/SD</v>
          </cell>
          <cell r="AD9" t="str">
            <v>N.Cal</v>
          </cell>
          <cell r="AE9" t="str">
            <v>Alaska</v>
          </cell>
          <cell r="AF9" t="str">
            <v>Hawaii</v>
          </cell>
        </row>
        <row r="10">
          <cell r="B10" t="str">
            <v>Holstic Mix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</row>
        <row r="11">
          <cell r="B11" t="str">
            <v>Prime 1,2</v>
          </cell>
          <cell r="C11" t="str">
            <v>???</v>
          </cell>
          <cell r="D11" t="str">
            <v>???</v>
          </cell>
          <cell r="E11" t="str">
            <v>???</v>
          </cell>
          <cell r="F11" t="str">
            <v>???</v>
          </cell>
          <cell r="G11" t="str">
            <v>???</v>
          </cell>
          <cell r="H11" t="str">
            <v>???</v>
          </cell>
          <cell r="I11" t="str">
            <v>???</v>
          </cell>
          <cell r="J11" t="str">
            <v>???</v>
          </cell>
          <cell r="K11" t="str">
            <v>???</v>
          </cell>
          <cell r="L11" t="str">
            <v>???</v>
          </cell>
          <cell r="M11" t="str">
            <v>???</v>
          </cell>
          <cell r="N11" t="str">
            <v>???</v>
          </cell>
          <cell r="O11" t="str">
            <v>???</v>
          </cell>
          <cell r="P11" t="str">
            <v>???</v>
          </cell>
          <cell r="Q11" t="str">
            <v>???</v>
          </cell>
          <cell r="R11" t="str">
            <v>???</v>
          </cell>
          <cell r="S11" t="str">
            <v>???</v>
          </cell>
          <cell r="T11" t="str">
            <v>???</v>
          </cell>
          <cell r="U11" t="str">
            <v>???</v>
          </cell>
          <cell r="V11" t="str">
            <v>???</v>
          </cell>
          <cell r="W11" t="str">
            <v>???</v>
          </cell>
          <cell r="X11" t="str">
            <v>???</v>
          </cell>
          <cell r="Y11" t="str">
            <v>???</v>
          </cell>
          <cell r="Z11" t="str">
            <v>???</v>
          </cell>
          <cell r="AA11" t="str">
            <v>???</v>
          </cell>
          <cell r="AB11" t="str">
            <v>???</v>
          </cell>
          <cell r="AC11" t="str">
            <v>???</v>
          </cell>
          <cell r="AD11" t="str">
            <v>Tempest</v>
          </cell>
          <cell r="AE11" t="str">
            <v>???</v>
          </cell>
          <cell r="AF11" t="str">
            <v>???</v>
          </cell>
        </row>
        <row r="12">
          <cell r="B12">
            <v>0</v>
          </cell>
          <cell r="C12" t="e">
            <v>#N/A</v>
          </cell>
          <cell r="D12" t="e">
            <v>#N/A</v>
          </cell>
          <cell r="E12" t="e">
            <v>#N/A</v>
          </cell>
          <cell r="F12" t="e">
            <v>#N/A</v>
          </cell>
          <cell r="G12" t="e">
            <v>#N/A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W12" t="e">
            <v>#N/A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 t="e">
            <v>#N/A</v>
          </cell>
          <cell r="AC12" t="e">
            <v>#N/A</v>
          </cell>
          <cell r="AD12" t="e">
            <v>#N/A</v>
          </cell>
          <cell r="AE12" t="e">
            <v>#N/A</v>
          </cell>
          <cell r="AF12" t="e">
            <v>#N/A</v>
          </cell>
        </row>
        <row r="13">
          <cell r="B13" t="str">
            <v>Overflow 2</v>
          </cell>
          <cell r="C13" t="str">
            <v>BlueStream Professional Services</v>
          </cell>
          <cell r="D13" t="str">
            <v>Rizzo Consulting INC</v>
          </cell>
          <cell r="E13" t="str">
            <v>???</v>
          </cell>
          <cell r="F13" t="str">
            <v>Goodman Networks</v>
          </cell>
          <cell r="G13" t="str">
            <v>Tempest</v>
          </cell>
          <cell r="H13" t="str">
            <v>Connectivity Wireless INC</v>
          </cell>
          <cell r="I13" t="str">
            <v>???</v>
          </cell>
          <cell r="J13" t="str">
            <v>Tempest</v>
          </cell>
          <cell r="K13" t="str">
            <v>???</v>
          </cell>
          <cell r="L13" t="str">
            <v>Tempest</v>
          </cell>
          <cell r="M13" t="str">
            <v>Ericsson</v>
          </cell>
          <cell r="N13" t="str">
            <v>Optical &amp; Telecommunications Solutions INC</v>
          </cell>
          <cell r="O13" t="str">
            <v>Ericsson</v>
          </cell>
          <cell r="P13" t="str">
            <v>Optical &amp; Telecommunications Solutions INC</v>
          </cell>
          <cell r="Q13" t="str">
            <v>Ericsson</v>
          </cell>
          <cell r="R13" t="str">
            <v>Nsoro MasTec, LLC</v>
          </cell>
          <cell r="S13" t="str">
            <v>Nsoro MasTec, LLC</v>
          </cell>
          <cell r="T13" t="str">
            <v>Nsoro MasTec, LLC</v>
          </cell>
          <cell r="U13" t="str">
            <v>Nsoro MasTec, LLC</v>
          </cell>
          <cell r="V13" t="str">
            <v>Nsoro MasTec, LLC</v>
          </cell>
          <cell r="W13" t="str">
            <v>Nsoro MasTec, LLC</v>
          </cell>
          <cell r="X13" t="str">
            <v>???</v>
          </cell>
          <cell r="Y13" t="str">
            <v>Goodman Networks</v>
          </cell>
          <cell r="Z13" t="str">
            <v>ARQ</v>
          </cell>
          <cell r="AA13" t="str">
            <v>???</v>
          </cell>
          <cell r="AB13" t="str">
            <v>Tempest</v>
          </cell>
          <cell r="AC13" t="str">
            <v>Rizzo Consulting INC</v>
          </cell>
          <cell r="AD13" t="str">
            <v>Rizzo Consulting INC</v>
          </cell>
          <cell r="AE13" t="str">
            <v>???</v>
          </cell>
          <cell r="AF13" t="str">
            <v>???</v>
          </cell>
        </row>
        <row r="14">
          <cell r="B14" t="str">
            <v>Overflow 3</v>
          </cell>
          <cell r="C14" t="str">
            <v>???</v>
          </cell>
          <cell r="D14" t="str">
            <v>???</v>
          </cell>
          <cell r="E14" t="str">
            <v>???</v>
          </cell>
          <cell r="F14" t="str">
            <v>???</v>
          </cell>
          <cell r="G14" t="str">
            <v>???</v>
          </cell>
          <cell r="H14" t="str">
            <v>???</v>
          </cell>
          <cell r="I14" t="str">
            <v>???</v>
          </cell>
          <cell r="J14" t="str">
            <v>???</v>
          </cell>
          <cell r="K14" t="str">
            <v>???</v>
          </cell>
          <cell r="L14" t="str">
            <v>???</v>
          </cell>
          <cell r="M14" t="str">
            <v>Genesis Networks Integration Services</v>
          </cell>
          <cell r="N14" t="str">
            <v>???</v>
          </cell>
          <cell r="O14" t="str">
            <v>???</v>
          </cell>
          <cell r="P14" t="str">
            <v>???</v>
          </cell>
          <cell r="Q14" t="str">
            <v>Genesis Networks Integration Services</v>
          </cell>
          <cell r="R14" t="str">
            <v>Betacom Inc</v>
          </cell>
          <cell r="S14" t="str">
            <v>Betacom Inc</v>
          </cell>
          <cell r="T14" t="str">
            <v>Betacom Inc</v>
          </cell>
          <cell r="U14" t="str">
            <v>Betacom Inc</v>
          </cell>
          <cell r="V14" t="str">
            <v>Betacom Inc</v>
          </cell>
          <cell r="W14" t="str">
            <v>Betacom Inc</v>
          </cell>
          <cell r="X14" t="str">
            <v>???</v>
          </cell>
          <cell r="Y14" t="str">
            <v>???</v>
          </cell>
          <cell r="Z14" t="str">
            <v>???</v>
          </cell>
          <cell r="AA14" t="str">
            <v>???</v>
          </cell>
          <cell r="AB14" t="str">
            <v>???</v>
          </cell>
          <cell r="AC14" t="str">
            <v>???</v>
          </cell>
          <cell r="AD14" t="str">
            <v>???</v>
          </cell>
          <cell r="AE14" t="str">
            <v>???</v>
          </cell>
          <cell r="AF14" t="str">
            <v>???</v>
          </cell>
        </row>
        <row r="18">
          <cell r="H18">
            <v>234463101.04411197</v>
          </cell>
        </row>
        <row r="20">
          <cell r="H20">
            <v>1.1489010989010988</v>
          </cell>
        </row>
        <row r="22">
          <cell r="H22">
            <v>1</v>
          </cell>
          <cell r="K22" t="b">
            <v>1</v>
          </cell>
        </row>
        <row r="23">
          <cell r="K23">
            <v>0.9</v>
          </cell>
        </row>
        <row r="24">
          <cell r="H24">
            <v>0</v>
          </cell>
          <cell r="K24">
            <v>0.1</v>
          </cell>
        </row>
        <row r="26">
          <cell r="K26">
            <v>0.25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pplemental Items"/>
      <sheetName val="HeadEnd"/>
      <sheetName val="Equipment"/>
      <sheetName val="Total BP"/>
      <sheetName val="LOE"/>
      <sheetName val="Material"/>
      <sheetName val="Consumables"/>
      <sheetName val="Resources"/>
      <sheetName val="Labor Proj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>
        <row r="6">
          <cell r="C6" t="str">
            <v xml:space="preserve">AWS </v>
          </cell>
        </row>
        <row r="7">
          <cell r="C7" t="str">
            <v>Union Contractor</v>
          </cell>
        </row>
        <row r="8">
          <cell r="C8" t="str">
            <v>Electrical Contractor</v>
          </cell>
        </row>
        <row r="9">
          <cell r="C9" t="str">
            <v>DTS</v>
          </cell>
        </row>
        <row r="10">
          <cell r="C10" t="str">
            <v>SSC</v>
          </cell>
        </row>
      </sheetData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Here"/>
      <sheetName val="OldPrices"/>
      <sheetName val="Region-Territory"/>
      <sheetName val="AllBids"/>
      <sheetName val="SavingsCalc"/>
      <sheetName val="SupplierProfs-DMM"/>
      <sheetName val="MedianTop5"/>
      <sheetName val="Write-In-BestTerritory"/>
      <sheetName val="SupplierRanks-BestPrice"/>
      <sheetName val="BestIncumbent"/>
      <sheetName val="ASG-Preferred Vendors"/>
      <sheetName val="Diversity &amp; Count"/>
      <sheetName val="Savings"/>
      <sheetName val="RFP Prices"/>
      <sheetName val="AuctionGraphs"/>
      <sheetName val="Vendor Ranks"/>
      <sheetName val="Outliers"/>
      <sheetName val="BGCalcs"/>
      <sheetName val="Territories by Vendor"/>
      <sheetName val="DMM"/>
    </sheetNames>
    <sheetDataSet>
      <sheetData sheetId="0">
        <row r="4">
          <cell r="E4" t="str">
            <v>Original Price</v>
          </cell>
          <cell r="F4" t="str">
            <v>AFL Network Services (Dennis Beck)</v>
          </cell>
          <cell r="G4" t="str">
            <v>Alcatel-Lucent (Mark Howdeshell)</v>
          </cell>
          <cell r="H4" t="str">
            <v>Argent Associates (Betty Manetta)</v>
          </cell>
          <cell r="I4" t="str">
            <v>ARQ (Kunal Hinduja)</v>
          </cell>
          <cell r="J4" t="str">
            <v>Avenger (Reginald Clarke)</v>
          </cell>
          <cell r="K4" t="str">
            <v>Avion Systems (Bharat Desai)</v>
          </cell>
          <cell r="L4" t="str">
            <v>Betacom Inc (David Paolini)</v>
          </cell>
          <cell r="M4" t="str">
            <v>Black &amp; Veatch (Larry Green)</v>
          </cell>
          <cell r="N4" t="str">
            <v>Black Box-InnerWireless (Doug Bierbower)</v>
          </cell>
          <cell r="O4" t="str">
            <v>BlueStream Professional Services (Paul Schultz)</v>
          </cell>
          <cell r="P4" t="str">
            <v>Broken Arrow Communications (Sean Springfield)</v>
          </cell>
          <cell r="Q4" t="str">
            <v>Building Network Solutions INC (BNS) (Brian Jones)</v>
          </cell>
          <cell r="R4" t="str">
            <v>C SQUARED SYSTEMS LLC (Scott Pollister)</v>
          </cell>
          <cell r="S4" t="str">
            <v>COMMUNICATIONS TECHNOLOGY SERVICES LLC (CTS) (Tom McCloskey)</v>
          </cell>
          <cell r="T4" t="str">
            <v>Concise Design INC (David Johnson)</v>
          </cell>
          <cell r="U4" t="str">
            <v>CONNECTIVITY SOLUTIONS INC (Kevin Turrisi)</v>
          </cell>
          <cell r="V4" t="str">
            <v>Connectivity Wireless INC (Rob Benson)</v>
          </cell>
          <cell r="W4" t="str">
            <v>Corning/Mobile Access (Chris Wixom)</v>
          </cell>
          <cell r="X4" t="str">
            <v>Creospan (Praj Shah)</v>
          </cell>
          <cell r="Y4" t="str">
            <v>CSI COMMUNICATIONS SERVICES (Sandy Drysdale)</v>
          </cell>
          <cell r="Z4" t="str">
            <v>Dan Combs Consulting (Matt Hester)</v>
          </cell>
          <cell r="AA4" t="str">
            <v>Deerfield Construction Group, Inc. (Jason Bay)</v>
          </cell>
          <cell r="AB4" t="str">
            <v>DOMITAL CORPORATION (Juan Carlos Coccarello)</v>
          </cell>
          <cell r="AC4" t="str">
            <v>Dynis LLC (Ken Fox)</v>
          </cell>
          <cell r="AD4" t="str">
            <v>Ericsson (Yunis Shahdad)</v>
          </cell>
          <cell r="AE4" t="str">
            <v>Genesis Networks Integration Services (Zachary DeCarlo)</v>
          </cell>
          <cell r="AF4" t="str">
            <v>GIBSON TECHNICAL SERVICES INC (Michael McCracken)</v>
          </cell>
          <cell r="AG4" t="str">
            <v>Glotel USA, Inc. (Mickey Mahoney)</v>
          </cell>
          <cell r="AH4" t="str">
            <v>Goodman Networks (Darrell Collier)</v>
          </cell>
          <cell r="AI4" t="str">
            <v>Heartland Solutions Corp (Kerwin Masten)</v>
          </cell>
          <cell r="AJ4" t="str">
            <v>Interface Communications Co INC (Stephen Olsen)</v>
          </cell>
          <cell r="AK4" t="str">
            <v>Jacobs (David Downie)</v>
          </cell>
          <cell r="AL4" t="str">
            <v>K &amp; M SYSTEMS INC (Mark Majernik)</v>
          </cell>
          <cell r="AM4" t="str">
            <v>MCA Communications (Ricky Cortez)</v>
          </cell>
          <cell r="AN4" t="str">
            <v>MCNEAL PROFESSIONAL SERVICES INC (Nathan McNeal)</v>
          </cell>
          <cell r="AO4" t="str">
            <v>Microwave Transmission Systems INC (MTSI) (David Spurlin)</v>
          </cell>
          <cell r="AP4" t="str">
            <v>Mountain Wireless (Ryan Hanson)</v>
          </cell>
          <cell r="AQ4" t="str">
            <v>Mycom (Rohit Chaudhry)</v>
          </cell>
          <cell r="AR4" t="str">
            <v>NEOGENERATION WIRELESS SERVICES, LLC (LeVar Fraiser)</v>
          </cell>
          <cell r="AS4" t="str">
            <v>Nexius (Matt Davis)</v>
          </cell>
          <cell r="AT4" t="str">
            <v>Nsoro MasTec, LLC (Larry Dubroc)</v>
          </cell>
          <cell r="AU4" t="str">
            <v>Optical &amp; Telecommunications Solutions INC (Sam Orendain)</v>
          </cell>
          <cell r="AV4" t="str">
            <v>Peak Power Service INC (Dave Retherford)</v>
          </cell>
          <cell r="AW4" t="str">
            <v>Pierson Wireless Corporation (John Bynum)</v>
          </cell>
          <cell r="AX4" t="str">
            <v>Professional Teleconcepts (Tim Ryan)</v>
          </cell>
          <cell r="AY4" t="str">
            <v>RF Connect (Jeff Hipchen)</v>
          </cell>
          <cell r="AZ4" t="str">
            <v>Rizzo Consulting INC (Chris Lenz)</v>
          </cell>
          <cell r="BA4" t="str">
            <v>SAC Wireless LLC (Clint Lamb)</v>
          </cell>
          <cell r="BB4" t="str">
            <v>SCE, Inc (Hossein Djavadi)</v>
          </cell>
          <cell r="BC4" t="str">
            <v>Site Acquisitions Inc. (Frank Shortall)</v>
          </cell>
          <cell r="BD4" t="str">
            <v>TELEWORLD SOLUTIONS (Andrew Ward)</v>
          </cell>
          <cell r="BE4" t="str">
            <v>Telnet (Mike Dorranian)</v>
          </cell>
          <cell r="BF4" t="str">
            <v>Tempest (Owen Groham)</v>
          </cell>
          <cell r="BG4" t="str">
            <v>Turnure Telecom LLC (Rick Turnure)</v>
          </cell>
          <cell r="BH4" t="str">
            <v>TXR Global Technologies (Bill Bracy)</v>
          </cell>
          <cell r="BI4" t="str">
            <v>Wigdahl Electric (WECO DAS) (Chat Chau)</v>
          </cell>
          <cell r="BJ4" t="str">
            <v>WS Consulting &amp; Construction INC (Paul Winch)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399E-9D9E-4B63-B539-E6E7E5B3BB86}">
  <dimension ref="A1:L29"/>
  <sheetViews>
    <sheetView zoomScaleNormal="100" workbookViewId="0">
      <selection activeCell="H11" sqref="H11:K11"/>
    </sheetView>
  </sheetViews>
  <sheetFormatPr defaultColWidth="9.21875" defaultRowHeight="13.2" x14ac:dyDescent="0.25"/>
  <cols>
    <col min="1" max="1" width="9.21875" style="4"/>
    <col min="2" max="2" width="17.44140625" style="4" customWidth="1"/>
    <col min="3" max="6" width="9.21875" style="4"/>
    <col min="7" max="7" width="11.44140625" style="4" customWidth="1"/>
    <col min="8" max="10" width="9.21875" style="4"/>
    <col min="11" max="11" width="14" style="4" customWidth="1"/>
    <col min="12" max="16384" width="9.21875" style="4"/>
  </cols>
  <sheetData>
    <row r="1" spans="1:12" x14ac:dyDescent="0.25">
      <c r="A1" s="401" t="s">
        <v>207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2"/>
    </row>
    <row r="2" spans="1:12" x14ac:dyDescent="0.25">
      <c r="A2" s="401"/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402"/>
    </row>
    <row r="3" spans="1:12" x14ac:dyDescent="0.25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2"/>
    </row>
    <row r="4" spans="1:12" x14ac:dyDescent="0.25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2"/>
    </row>
    <row r="5" spans="1:12" x14ac:dyDescent="0.25">
      <c r="A5" s="401"/>
      <c r="B5" s="401"/>
      <c r="C5" s="401"/>
      <c r="D5" s="401"/>
      <c r="E5" s="401"/>
      <c r="F5" s="401"/>
      <c r="G5" s="401"/>
      <c r="H5" s="401"/>
      <c r="I5" s="401"/>
      <c r="J5" s="401"/>
      <c r="K5" s="401"/>
      <c r="L5" s="402"/>
    </row>
    <row r="6" spans="1:12" x14ac:dyDescent="0.25">
      <c r="A6" s="401"/>
      <c r="B6" s="401"/>
      <c r="C6" s="401"/>
      <c r="D6" s="401"/>
      <c r="E6" s="401"/>
      <c r="F6" s="401"/>
      <c r="G6" s="401"/>
      <c r="H6" s="401"/>
      <c r="I6" s="401"/>
      <c r="J6" s="401"/>
      <c r="K6" s="401"/>
      <c r="L6" s="402"/>
    </row>
    <row r="7" spans="1:12" x14ac:dyDescent="0.25">
      <c r="A7" s="401"/>
      <c r="B7" s="401"/>
      <c r="C7" s="401"/>
      <c r="D7" s="401"/>
      <c r="E7" s="401"/>
      <c r="F7" s="401"/>
      <c r="G7" s="401"/>
      <c r="H7" s="401"/>
      <c r="I7" s="401"/>
      <c r="J7" s="401"/>
      <c r="K7" s="401"/>
      <c r="L7" s="402"/>
    </row>
    <row r="8" spans="1:12" x14ac:dyDescent="0.25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2"/>
    </row>
    <row r="9" spans="1:12" ht="14.4" x14ac:dyDescent="0.3">
      <c r="A9" s="370" t="s">
        <v>208</v>
      </c>
      <c r="B9" s="371"/>
      <c r="C9" s="395"/>
      <c r="D9" s="396"/>
      <c r="E9" s="396"/>
      <c r="F9" s="396"/>
      <c r="G9" s="396"/>
      <c r="H9" s="396"/>
      <c r="I9" s="396"/>
      <c r="J9" s="396"/>
      <c r="K9" s="396"/>
      <c r="L9" s="252"/>
    </row>
    <row r="10" spans="1:12" ht="14.4" x14ac:dyDescent="0.3">
      <c r="A10" s="370" t="s">
        <v>209</v>
      </c>
      <c r="B10" s="371"/>
      <c r="C10" s="395"/>
      <c r="D10" s="396"/>
      <c r="E10" s="396"/>
      <c r="F10" s="396"/>
      <c r="G10" s="396"/>
      <c r="H10" s="396"/>
      <c r="I10" s="396"/>
      <c r="J10" s="396"/>
      <c r="K10" s="396"/>
      <c r="L10" s="252"/>
    </row>
    <row r="11" spans="1:12" ht="14.4" x14ac:dyDescent="0.3">
      <c r="A11" s="370" t="s">
        <v>210</v>
      </c>
      <c r="B11" s="371"/>
      <c r="C11" s="398"/>
      <c r="D11" s="399"/>
      <c r="E11" s="399"/>
      <c r="F11" s="400" t="s">
        <v>211</v>
      </c>
      <c r="G11" s="400"/>
      <c r="H11" s="398"/>
      <c r="I11" s="399"/>
      <c r="J11" s="399"/>
      <c r="K11" s="399"/>
      <c r="L11" s="252"/>
    </row>
    <row r="12" spans="1:12" ht="14.4" x14ac:dyDescent="0.3">
      <c r="A12" s="370" t="s">
        <v>212</v>
      </c>
      <c r="B12" s="371"/>
      <c r="C12" s="395"/>
      <c r="D12" s="396"/>
      <c r="E12" s="396"/>
      <c r="F12" s="396"/>
      <c r="G12" s="396"/>
      <c r="H12" s="396"/>
      <c r="I12" s="396"/>
      <c r="J12" s="396"/>
      <c r="K12" s="396"/>
      <c r="L12" s="252"/>
    </row>
    <row r="13" spans="1:12" ht="14.4" x14ac:dyDescent="0.3">
      <c r="A13" s="370" t="s">
        <v>213</v>
      </c>
      <c r="B13" s="371"/>
      <c r="C13" s="395"/>
      <c r="D13" s="396"/>
      <c r="E13" s="396"/>
      <c r="F13" s="253" t="s">
        <v>214</v>
      </c>
      <c r="G13" s="397"/>
      <c r="H13" s="397"/>
      <c r="I13" s="253" t="s">
        <v>215</v>
      </c>
      <c r="J13" s="397"/>
      <c r="K13" s="396"/>
      <c r="L13" s="252"/>
    </row>
    <row r="14" spans="1:12" ht="14.4" x14ac:dyDescent="0.3">
      <c r="A14" s="392"/>
      <c r="B14" s="393"/>
      <c r="C14" s="393"/>
      <c r="D14" s="393"/>
      <c r="E14" s="393"/>
      <c r="F14" s="393"/>
      <c r="G14" s="393"/>
      <c r="H14" s="393"/>
      <c r="I14" s="393"/>
      <c r="J14" s="393"/>
      <c r="K14" s="393"/>
      <c r="L14" s="252"/>
    </row>
    <row r="15" spans="1:12" ht="14.4" x14ac:dyDescent="0.3">
      <c r="A15" s="370" t="s">
        <v>216</v>
      </c>
      <c r="B15" s="371"/>
      <c r="C15" s="371" t="s">
        <v>217</v>
      </c>
      <c r="D15" s="371"/>
      <c r="E15" s="275"/>
      <c r="F15" s="371" t="s">
        <v>218</v>
      </c>
      <c r="G15" s="371"/>
      <c r="H15" s="260"/>
      <c r="I15" s="254" t="s">
        <v>219</v>
      </c>
      <c r="J15" s="394"/>
      <c r="K15" s="394"/>
      <c r="L15" s="252"/>
    </row>
    <row r="16" spans="1:12" ht="14.4" x14ac:dyDescent="0.3">
      <c r="A16" s="370" t="s">
        <v>220</v>
      </c>
      <c r="B16" s="371"/>
      <c r="C16" s="395"/>
      <c r="D16" s="396"/>
      <c r="E16" s="396"/>
      <c r="F16" s="396"/>
      <c r="G16" s="396"/>
      <c r="H16" s="396"/>
      <c r="I16" s="396"/>
      <c r="J16" s="396"/>
      <c r="K16" s="396"/>
      <c r="L16" s="252"/>
    </row>
    <row r="17" spans="1:12" ht="15" thickBot="1" x14ac:dyDescent="0.35">
      <c r="A17" s="255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2"/>
    </row>
    <row r="18" spans="1:12" ht="14.4" x14ac:dyDescent="0.3">
      <c r="A18" s="370" t="s">
        <v>221</v>
      </c>
      <c r="B18" s="371"/>
      <c r="C18" s="372"/>
      <c r="D18" s="373"/>
      <c r="E18" s="373"/>
      <c r="F18" s="373"/>
      <c r="G18" s="373"/>
      <c r="H18" s="373"/>
      <c r="I18" s="373"/>
      <c r="J18" s="373"/>
      <c r="K18" s="374"/>
      <c r="L18" s="252"/>
    </row>
    <row r="19" spans="1:12" ht="14.4" x14ac:dyDescent="0.3">
      <c r="A19" s="255"/>
      <c r="B19" s="256"/>
      <c r="C19" s="375"/>
      <c r="D19" s="376"/>
      <c r="E19" s="376"/>
      <c r="F19" s="376"/>
      <c r="G19" s="376"/>
      <c r="H19" s="376"/>
      <c r="I19" s="376"/>
      <c r="J19" s="376"/>
      <c r="K19" s="377"/>
      <c r="L19" s="252"/>
    </row>
    <row r="20" spans="1:12" ht="14.4" x14ac:dyDescent="0.3">
      <c r="A20" s="255"/>
      <c r="B20" s="256"/>
      <c r="C20" s="375"/>
      <c r="D20" s="376"/>
      <c r="E20" s="376"/>
      <c r="F20" s="376"/>
      <c r="G20" s="376"/>
      <c r="H20" s="376"/>
      <c r="I20" s="376"/>
      <c r="J20" s="376"/>
      <c r="K20" s="377"/>
      <c r="L20" s="252"/>
    </row>
    <row r="21" spans="1:12" ht="14.4" x14ac:dyDescent="0.3">
      <c r="A21" s="255"/>
      <c r="B21" s="256"/>
      <c r="C21" s="375"/>
      <c r="D21" s="376"/>
      <c r="E21" s="376"/>
      <c r="F21" s="376"/>
      <c r="G21" s="376"/>
      <c r="H21" s="376"/>
      <c r="I21" s="376"/>
      <c r="J21" s="376"/>
      <c r="K21" s="377"/>
      <c r="L21" s="252"/>
    </row>
    <row r="22" spans="1:12" ht="15" thickBot="1" x14ac:dyDescent="0.35">
      <c r="A22" s="255"/>
      <c r="B22" s="256"/>
      <c r="C22" s="378"/>
      <c r="D22" s="379"/>
      <c r="E22" s="379"/>
      <c r="F22" s="379"/>
      <c r="G22" s="379"/>
      <c r="H22" s="379"/>
      <c r="I22" s="379"/>
      <c r="J22" s="379"/>
      <c r="K22" s="380"/>
      <c r="L22" s="252"/>
    </row>
    <row r="23" spans="1:12" ht="15" thickBot="1" x14ac:dyDescent="0.35">
      <c r="A23" s="255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2"/>
    </row>
    <row r="24" spans="1:12" x14ac:dyDescent="0.25">
      <c r="A24" s="381" t="s">
        <v>222</v>
      </c>
      <c r="B24" s="382"/>
      <c r="C24" s="383"/>
      <c r="D24" s="384"/>
      <c r="E24" s="384"/>
      <c r="F24" s="384"/>
      <c r="G24" s="384"/>
      <c r="H24" s="384"/>
      <c r="I24" s="384"/>
      <c r="J24" s="384"/>
      <c r="K24" s="385"/>
      <c r="L24" s="252"/>
    </row>
    <row r="25" spans="1:12" x14ac:dyDescent="0.25">
      <c r="A25" s="381"/>
      <c r="B25" s="382"/>
      <c r="C25" s="386"/>
      <c r="D25" s="387"/>
      <c r="E25" s="387"/>
      <c r="F25" s="387"/>
      <c r="G25" s="387"/>
      <c r="H25" s="387"/>
      <c r="I25" s="387"/>
      <c r="J25" s="387"/>
      <c r="K25" s="388"/>
      <c r="L25" s="252"/>
    </row>
    <row r="26" spans="1:12" x14ac:dyDescent="0.25">
      <c r="A26" s="381"/>
      <c r="B26" s="382"/>
      <c r="C26" s="386"/>
      <c r="D26" s="387"/>
      <c r="E26" s="387"/>
      <c r="F26" s="387"/>
      <c r="G26" s="387"/>
      <c r="H26" s="387"/>
      <c r="I26" s="387"/>
      <c r="J26" s="387"/>
      <c r="K26" s="388"/>
      <c r="L26" s="252"/>
    </row>
    <row r="27" spans="1:12" x14ac:dyDescent="0.25">
      <c r="A27" s="381"/>
      <c r="B27" s="382"/>
      <c r="C27" s="386"/>
      <c r="D27" s="387"/>
      <c r="E27" s="387"/>
      <c r="F27" s="387"/>
      <c r="G27" s="387"/>
      <c r="H27" s="387"/>
      <c r="I27" s="387"/>
      <c r="J27" s="387"/>
      <c r="K27" s="388"/>
      <c r="L27" s="252"/>
    </row>
    <row r="28" spans="1:12" ht="13.8" thickBot="1" x14ac:dyDescent="0.3">
      <c r="A28" s="381"/>
      <c r="B28" s="382"/>
      <c r="C28" s="389"/>
      <c r="D28" s="390"/>
      <c r="E28" s="390"/>
      <c r="F28" s="390"/>
      <c r="G28" s="390"/>
      <c r="H28" s="390"/>
      <c r="I28" s="390"/>
      <c r="J28" s="390"/>
      <c r="K28" s="391"/>
      <c r="L28" s="252"/>
    </row>
    <row r="29" spans="1:12" ht="16.2" thickBot="1" x14ac:dyDescent="0.35">
      <c r="A29" s="257"/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9"/>
    </row>
  </sheetData>
  <mergeCells count="26">
    <mergeCell ref="A11:B11"/>
    <mergeCell ref="C11:E11"/>
    <mergeCell ref="F11:G11"/>
    <mergeCell ref="H11:K11"/>
    <mergeCell ref="A1:L8"/>
    <mergeCell ref="A9:B9"/>
    <mergeCell ref="C9:K9"/>
    <mergeCell ref="A10:B10"/>
    <mergeCell ref="C10:K10"/>
    <mergeCell ref="A12:B12"/>
    <mergeCell ref="C12:K12"/>
    <mergeCell ref="A13:B13"/>
    <mergeCell ref="C13:E13"/>
    <mergeCell ref="G13:H13"/>
    <mergeCell ref="J13:K13"/>
    <mergeCell ref="A18:B18"/>
    <mergeCell ref="C18:K22"/>
    <mergeCell ref="A24:B28"/>
    <mergeCell ref="C24:K28"/>
    <mergeCell ref="A14:K14"/>
    <mergeCell ref="A15:B15"/>
    <mergeCell ref="C15:D15"/>
    <mergeCell ref="F15:G15"/>
    <mergeCell ref="J15:K15"/>
    <mergeCell ref="A16:B16"/>
    <mergeCell ref="C16:K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0A830-C35B-479B-B56D-B15AC254EE0B}">
  <dimension ref="A1:O61"/>
  <sheetViews>
    <sheetView zoomScaleNormal="100" workbookViewId="0">
      <pane xSplit="7" ySplit="3" topLeftCell="H35" activePane="bottomRight" state="frozen"/>
      <selection pane="topRight" activeCell="H1" sqref="H1"/>
      <selection pane="bottomLeft" activeCell="A4" sqref="A4"/>
      <selection pane="bottomRight" activeCell="C59" sqref="C59"/>
    </sheetView>
  </sheetViews>
  <sheetFormatPr defaultColWidth="9.21875" defaultRowHeight="14.4" x14ac:dyDescent="0.3"/>
  <cols>
    <col min="1" max="1" width="4" style="154" customWidth="1"/>
    <col min="2" max="2" width="34.77734375" style="154" customWidth="1"/>
    <col min="3" max="3" width="12.21875" style="154" bestFit="1" customWidth="1"/>
    <col min="4" max="4" width="13.5546875" style="154" bestFit="1" customWidth="1"/>
    <col min="5" max="6" width="7.21875" style="154" bestFit="1" customWidth="1"/>
    <col min="7" max="7" width="31.21875" style="154" bestFit="1" customWidth="1"/>
    <col min="8" max="8" width="10.44140625" style="154" customWidth="1"/>
    <col min="9" max="9" width="35.21875" style="154" bestFit="1" customWidth="1"/>
    <col min="10" max="10" width="12.21875" style="154" bestFit="1" customWidth="1"/>
    <col min="11" max="11" width="13.5546875" style="154" bestFit="1" customWidth="1"/>
    <col min="12" max="13" width="7.21875" style="154" bestFit="1" customWidth="1"/>
    <col min="14" max="14" width="22.44140625" style="154" bestFit="1" customWidth="1"/>
    <col min="15" max="16384" width="9.21875" style="154"/>
  </cols>
  <sheetData>
    <row r="1" spans="1:15" ht="15" thickBot="1" x14ac:dyDescent="0.35">
      <c r="A1" s="153"/>
      <c r="B1" s="415" t="s">
        <v>170</v>
      </c>
      <c r="C1" s="416"/>
      <c r="D1" s="416"/>
      <c r="E1" s="416"/>
      <c r="F1" s="416"/>
      <c r="G1" s="417"/>
      <c r="H1" s="153"/>
      <c r="I1" s="415" t="s">
        <v>171</v>
      </c>
      <c r="J1" s="416"/>
      <c r="K1" s="416"/>
      <c r="L1" s="416"/>
      <c r="M1" s="416"/>
      <c r="N1" s="417"/>
    </row>
    <row r="2" spans="1:15" ht="15" thickBot="1" x14ac:dyDescent="0.35">
      <c r="A2" s="153"/>
      <c r="B2" s="418" t="s">
        <v>122</v>
      </c>
      <c r="C2" s="419"/>
      <c r="D2" s="419"/>
      <c r="E2" s="420" t="s">
        <v>123</v>
      </c>
      <c r="F2" s="421"/>
      <c r="G2" s="422"/>
      <c r="H2" s="153"/>
      <c r="I2" s="418" t="s">
        <v>122</v>
      </c>
      <c r="J2" s="419"/>
      <c r="K2" s="419"/>
      <c r="L2" s="420" t="s">
        <v>123</v>
      </c>
      <c r="M2" s="421"/>
      <c r="N2" s="422"/>
    </row>
    <row r="3" spans="1:15" ht="29.4" thickBot="1" x14ac:dyDescent="0.35">
      <c r="A3" s="153"/>
      <c r="B3" s="295" t="s">
        <v>172</v>
      </c>
      <c r="C3" s="295" t="s">
        <v>173</v>
      </c>
      <c r="D3" s="295" t="s">
        <v>168</v>
      </c>
      <c r="E3" s="295" t="s">
        <v>24</v>
      </c>
      <c r="F3" s="295" t="s">
        <v>174</v>
      </c>
      <c r="G3" s="295" t="s">
        <v>175</v>
      </c>
      <c r="H3" s="153"/>
      <c r="I3" s="295" t="s">
        <v>172</v>
      </c>
      <c r="J3" s="295" t="s">
        <v>173</v>
      </c>
      <c r="K3" s="295" t="s">
        <v>168</v>
      </c>
      <c r="L3" s="295" t="s">
        <v>24</v>
      </c>
      <c r="M3" s="295" t="s">
        <v>174</v>
      </c>
      <c r="N3" s="295" t="s">
        <v>175</v>
      </c>
    </row>
    <row r="4" spans="1:15" ht="15" thickBot="1" x14ac:dyDescent="0.35">
      <c r="A4" s="334"/>
      <c r="B4" s="409" t="s">
        <v>200</v>
      </c>
      <c r="C4" s="410"/>
      <c r="D4" s="410"/>
      <c r="E4" s="410"/>
      <c r="F4" s="410"/>
      <c r="G4" s="411"/>
      <c r="H4" s="333"/>
      <c r="I4" s="409" t="s">
        <v>200</v>
      </c>
      <c r="J4" s="410"/>
      <c r="K4" s="410"/>
      <c r="L4" s="410"/>
      <c r="M4" s="410"/>
      <c r="N4" s="411"/>
    </row>
    <row r="5" spans="1:15" ht="15" customHeight="1" x14ac:dyDescent="0.3">
      <c r="A5" s="153"/>
      <c r="B5" s="262" t="s">
        <v>195</v>
      </c>
      <c r="C5" s="263">
        <f ca="1">'Labor Projections'!G9</f>
        <v>0</v>
      </c>
      <c r="D5" s="183">
        <f ca="1">C5*F8+C5</f>
        <v>0</v>
      </c>
      <c r="E5" s="263">
        <f ca="1">'Labor Projections'!F9</f>
        <v>0</v>
      </c>
      <c r="F5" s="265" t="s">
        <v>176</v>
      </c>
      <c r="G5" s="266" t="s">
        <v>194</v>
      </c>
      <c r="H5" s="153"/>
      <c r="I5" s="262" t="s">
        <v>195</v>
      </c>
      <c r="J5" s="263">
        <f ca="1">'Labor Projections'!G9</f>
        <v>0</v>
      </c>
      <c r="K5" s="264" t="s">
        <v>176</v>
      </c>
      <c r="L5" s="263">
        <f ca="1">'Labor Projections'!F9</f>
        <v>0</v>
      </c>
      <c r="M5" s="265" t="s">
        <v>176</v>
      </c>
      <c r="N5" s="266" t="s">
        <v>194</v>
      </c>
    </row>
    <row r="6" spans="1:15" x14ac:dyDescent="0.3">
      <c r="A6" s="153"/>
      <c r="B6" s="158" t="s">
        <v>196</v>
      </c>
      <c r="C6" s="159">
        <f ca="1">'Labor Projections'!G14</f>
        <v>0</v>
      </c>
      <c r="D6" s="183">
        <f ca="1">C6*F8+C6</f>
        <v>0</v>
      </c>
      <c r="E6" s="159">
        <f ca="1">'Labor Projections'!F14</f>
        <v>0</v>
      </c>
      <c r="F6" s="161"/>
      <c r="G6" s="147" t="s">
        <v>194</v>
      </c>
      <c r="H6" s="153"/>
      <c r="I6" s="158" t="s">
        <v>196</v>
      </c>
      <c r="J6" s="159">
        <f ca="1">'Labor Projections'!G14</f>
        <v>0</v>
      </c>
      <c r="K6" s="160"/>
      <c r="L6" s="159">
        <f ca="1">'Labor Projections'!F14</f>
        <v>0</v>
      </c>
      <c r="M6" s="161"/>
      <c r="N6" s="147" t="s">
        <v>194</v>
      </c>
    </row>
    <row r="7" spans="1:15" ht="15" thickBot="1" x14ac:dyDescent="0.35">
      <c r="A7" s="153"/>
      <c r="B7" s="172" t="s">
        <v>150</v>
      </c>
      <c r="C7" s="162">
        <f>'Pass Throughs'!E31</f>
        <v>0</v>
      </c>
      <c r="D7" s="183">
        <f>C7*F8+C7</f>
        <v>0</v>
      </c>
      <c r="E7" s="162">
        <f>'Pass Throughs'!F31</f>
        <v>0</v>
      </c>
      <c r="F7" s="161"/>
      <c r="G7" s="148"/>
      <c r="H7" s="153"/>
      <c r="I7" s="172" t="s">
        <v>150</v>
      </c>
      <c r="J7" s="162">
        <f>'Pass Throughs'!E31</f>
        <v>0</v>
      </c>
      <c r="K7" s="163"/>
      <c r="L7" s="162">
        <f>'Pass Throughs'!F31</f>
        <v>0</v>
      </c>
      <c r="M7" s="164"/>
      <c r="N7" s="148"/>
    </row>
    <row r="8" spans="1:15" ht="15" thickBot="1" x14ac:dyDescent="0.35">
      <c r="A8" s="153"/>
      <c r="B8" s="165" t="s">
        <v>197</v>
      </c>
      <c r="C8" s="166"/>
      <c r="D8" s="167">
        <f ca="1">SUM(C5:C7)*F8+SUM(C5:C7)</f>
        <v>0</v>
      </c>
      <c r="E8" s="167">
        <f ca="1">SUM(E5:E7)</f>
        <v>0</v>
      </c>
      <c r="F8" s="86">
        <v>0.25</v>
      </c>
      <c r="G8" s="168"/>
      <c r="H8" s="169">
        <f ca="1">D8-K8</f>
        <v>0</v>
      </c>
      <c r="I8" s="165" t="s">
        <v>197</v>
      </c>
      <c r="J8" s="166"/>
      <c r="K8" s="167">
        <f ca="1">SUM(J5:J7)</f>
        <v>0</v>
      </c>
      <c r="L8" s="167">
        <f ca="1">SUM(L5:L6)</f>
        <v>0</v>
      </c>
      <c r="M8" s="141">
        <v>0</v>
      </c>
      <c r="N8" s="168" t="s">
        <v>176</v>
      </c>
      <c r="O8" s="237"/>
    </row>
    <row r="9" spans="1:15" ht="15" thickBot="1" x14ac:dyDescent="0.35">
      <c r="A9" s="334"/>
      <c r="B9" s="409" t="s">
        <v>201</v>
      </c>
      <c r="C9" s="410"/>
      <c r="D9" s="410"/>
      <c r="E9" s="410"/>
      <c r="F9" s="410"/>
      <c r="G9" s="411"/>
      <c r="H9" s="333"/>
      <c r="I9" s="409" t="s">
        <v>201</v>
      </c>
      <c r="J9" s="410"/>
      <c r="K9" s="410"/>
      <c r="L9" s="410"/>
      <c r="M9" s="410"/>
      <c r="N9" s="411"/>
    </row>
    <row r="10" spans="1:15" x14ac:dyDescent="0.3">
      <c r="A10" s="153"/>
      <c r="B10" s="170" t="s">
        <v>27</v>
      </c>
      <c r="C10" s="156">
        <f ca="1">'Pass Throughs'!E11</f>
        <v>0</v>
      </c>
      <c r="D10" s="183">
        <f ca="1">C10*F15+C10</f>
        <v>0</v>
      </c>
      <c r="E10" s="157" t="s">
        <v>176</v>
      </c>
      <c r="F10" s="171" t="s">
        <v>176</v>
      </c>
      <c r="G10" s="144" t="s">
        <v>162</v>
      </c>
      <c r="H10" s="153"/>
      <c r="I10" s="170" t="s">
        <v>27</v>
      </c>
      <c r="J10" s="156">
        <f ca="1">'Pass Throughs'!E11</f>
        <v>0</v>
      </c>
      <c r="K10" s="157" t="s">
        <v>176</v>
      </c>
      <c r="L10" s="157" t="s">
        <v>176</v>
      </c>
      <c r="M10" s="171" t="s">
        <v>176</v>
      </c>
      <c r="N10" s="144" t="s">
        <v>162</v>
      </c>
    </row>
    <row r="11" spans="1:15" x14ac:dyDescent="0.3">
      <c r="A11" s="153"/>
      <c r="B11" s="172" t="s">
        <v>26</v>
      </c>
      <c r="C11" s="159">
        <f ca="1">'Pass Throughs'!E21</f>
        <v>0</v>
      </c>
      <c r="D11" s="183">
        <f ca="1">C11*F15+C11</f>
        <v>0</v>
      </c>
      <c r="E11" s="160"/>
      <c r="F11" s="173"/>
      <c r="G11" s="145" t="s">
        <v>162</v>
      </c>
      <c r="H11" s="153"/>
      <c r="I11" s="172" t="s">
        <v>26</v>
      </c>
      <c r="J11" s="159">
        <f ca="1">'Pass Throughs'!E21</f>
        <v>0</v>
      </c>
      <c r="K11" s="160"/>
      <c r="L11" s="160"/>
      <c r="M11" s="173"/>
      <c r="N11" s="145" t="s">
        <v>162</v>
      </c>
    </row>
    <row r="12" spans="1:15" x14ac:dyDescent="0.3">
      <c r="A12" s="153"/>
      <c r="B12" s="172" t="s">
        <v>25</v>
      </c>
      <c r="C12" s="159">
        <f>'Pass Throughs'!E41</f>
        <v>0</v>
      </c>
      <c r="D12" s="183">
        <f>C12*F15+C12</f>
        <v>0</v>
      </c>
      <c r="E12" s="160"/>
      <c r="F12" s="173"/>
      <c r="G12" s="145" t="s">
        <v>162</v>
      </c>
      <c r="H12" s="153"/>
      <c r="I12" s="172" t="s">
        <v>25</v>
      </c>
      <c r="J12" s="159">
        <f>'Pass Throughs'!E41</f>
        <v>0</v>
      </c>
      <c r="K12" s="160"/>
      <c r="L12" s="160"/>
      <c r="M12" s="173"/>
      <c r="N12" s="145" t="s">
        <v>162</v>
      </c>
    </row>
    <row r="13" spans="1:15" x14ac:dyDescent="0.3">
      <c r="A13" s="153"/>
      <c r="B13" s="172" t="s">
        <v>155</v>
      </c>
      <c r="C13" s="159">
        <f>'Pass Throughs'!E58</f>
        <v>0</v>
      </c>
      <c r="D13" s="183">
        <f>C13*F15+C13</f>
        <v>0</v>
      </c>
      <c r="E13" s="160"/>
      <c r="F13" s="173"/>
      <c r="G13" s="145" t="s">
        <v>162</v>
      </c>
      <c r="H13" s="153"/>
      <c r="I13" s="172" t="s">
        <v>155</v>
      </c>
      <c r="J13" s="159">
        <f>'Pass Throughs'!E58</f>
        <v>0</v>
      </c>
      <c r="K13" s="160"/>
      <c r="L13" s="160"/>
      <c r="M13" s="173"/>
      <c r="N13" s="145" t="s">
        <v>162</v>
      </c>
    </row>
    <row r="14" spans="1:15" ht="15" thickBot="1" x14ac:dyDescent="0.35">
      <c r="A14" s="153"/>
      <c r="B14" s="174" t="s">
        <v>363</v>
      </c>
      <c r="C14" s="175">
        <f>'Pass Throughs'!E72</f>
        <v>0</v>
      </c>
      <c r="D14" s="183">
        <f>C14*F59+C14</f>
        <v>0</v>
      </c>
      <c r="E14" s="176"/>
      <c r="F14" s="177"/>
      <c r="G14" s="146" t="s">
        <v>162</v>
      </c>
      <c r="H14" s="153"/>
      <c r="I14" s="174" t="s">
        <v>363</v>
      </c>
      <c r="J14" s="175">
        <f>'Pass Throughs'!E72</f>
        <v>0</v>
      </c>
      <c r="K14" s="176"/>
      <c r="L14" s="176"/>
      <c r="M14" s="177"/>
      <c r="N14" s="146" t="s">
        <v>162</v>
      </c>
    </row>
    <row r="15" spans="1:15" ht="15" thickBot="1" x14ac:dyDescent="0.35">
      <c r="A15" s="153"/>
      <c r="B15" s="178" t="s">
        <v>202</v>
      </c>
      <c r="C15" s="179"/>
      <c r="D15" s="180">
        <f ca="1">SUM(C10:C14)*F15+SUM(C10:C14)</f>
        <v>0</v>
      </c>
      <c r="E15" s="180">
        <f>SUM(E10:E14)</f>
        <v>0</v>
      </c>
      <c r="F15" s="142">
        <v>0.25</v>
      </c>
      <c r="G15" s="181"/>
      <c r="H15" s="169">
        <f ca="1">D15-K15</f>
        <v>0</v>
      </c>
      <c r="I15" s="178" t="s">
        <v>202</v>
      </c>
      <c r="J15" s="179"/>
      <c r="K15" s="180">
        <f ca="1">SUM(J10:J14)</f>
        <v>0</v>
      </c>
      <c r="L15" s="180">
        <f>SUM(L10:L14)</f>
        <v>0</v>
      </c>
      <c r="M15" s="143">
        <v>0</v>
      </c>
      <c r="N15" s="181" t="s">
        <v>176</v>
      </c>
      <c r="O15" s="237"/>
    </row>
    <row r="16" spans="1:15" ht="15" thickBot="1" x14ac:dyDescent="0.35">
      <c r="A16" s="334"/>
      <c r="B16" s="409" t="s">
        <v>166</v>
      </c>
      <c r="C16" s="410"/>
      <c r="D16" s="410"/>
      <c r="E16" s="410"/>
      <c r="F16" s="410"/>
      <c r="G16" s="411"/>
      <c r="H16" s="333"/>
      <c r="I16" s="409" t="s">
        <v>166</v>
      </c>
      <c r="J16" s="410"/>
      <c r="K16" s="410"/>
      <c r="L16" s="410"/>
      <c r="M16" s="410"/>
      <c r="N16" s="411"/>
    </row>
    <row r="17" spans="1:15" ht="15" customHeight="1" x14ac:dyDescent="0.3">
      <c r="A17" s="153"/>
      <c r="B17" s="155" t="s">
        <v>167</v>
      </c>
      <c r="C17" s="156">
        <f>'Bill of Materials'!I87</f>
        <v>0</v>
      </c>
      <c r="D17" s="183">
        <f>C17*F21+C17</f>
        <v>0</v>
      </c>
      <c r="E17" s="157"/>
      <c r="F17" s="171" t="s">
        <v>176</v>
      </c>
      <c r="G17" s="144" t="s">
        <v>199</v>
      </c>
      <c r="H17" s="153"/>
      <c r="I17" s="155" t="s">
        <v>167</v>
      </c>
      <c r="J17" s="156">
        <f>'Bill of Materials'!I87</f>
        <v>0</v>
      </c>
      <c r="K17" s="182"/>
      <c r="L17" s="157"/>
      <c r="M17" s="171" t="s">
        <v>176</v>
      </c>
      <c r="N17" s="144" t="s">
        <v>199</v>
      </c>
    </row>
    <row r="18" spans="1:15" x14ac:dyDescent="0.3">
      <c r="A18" s="153"/>
      <c r="B18" s="158" t="s">
        <v>360</v>
      </c>
      <c r="C18" s="159">
        <f>'Bill of Materials'!I88</f>
        <v>0</v>
      </c>
      <c r="D18" s="183">
        <f>C18*F21+C18</f>
        <v>0</v>
      </c>
      <c r="E18" s="160"/>
      <c r="F18" s="173" t="s">
        <v>176</v>
      </c>
      <c r="G18" s="145" t="s">
        <v>199</v>
      </c>
      <c r="H18" s="153"/>
      <c r="I18" s="158" t="s">
        <v>360</v>
      </c>
      <c r="J18" s="159">
        <f>'Bill of Materials'!I88</f>
        <v>0</v>
      </c>
      <c r="K18" s="183"/>
      <c r="L18" s="160"/>
      <c r="M18" s="173" t="s">
        <v>176</v>
      </c>
      <c r="N18" s="145" t="s">
        <v>199</v>
      </c>
    </row>
    <row r="19" spans="1:15" x14ac:dyDescent="0.3">
      <c r="A19" s="153"/>
      <c r="B19" s="158" t="s">
        <v>359</v>
      </c>
      <c r="C19" s="159">
        <f>'Bill of Materials'!I89</f>
        <v>0</v>
      </c>
      <c r="D19" s="183">
        <f>C19*F21+C19</f>
        <v>0</v>
      </c>
      <c r="E19" s="160"/>
      <c r="F19" s="173"/>
      <c r="G19" s="145" t="s">
        <v>199</v>
      </c>
      <c r="H19" s="153"/>
      <c r="I19" s="158" t="s">
        <v>359</v>
      </c>
      <c r="J19" s="159">
        <f>'Bill of Materials'!I89</f>
        <v>0</v>
      </c>
      <c r="K19" s="183"/>
      <c r="L19" s="160"/>
      <c r="M19" s="173"/>
      <c r="N19" s="145" t="s">
        <v>199</v>
      </c>
    </row>
    <row r="20" spans="1:15" ht="15" thickBot="1" x14ac:dyDescent="0.35">
      <c r="A20" s="153"/>
      <c r="B20" s="184" t="s">
        <v>308</v>
      </c>
      <c r="C20" s="175">
        <f>'Bill of Materials'!I90+'Bill of Materials'!I91</f>
        <v>0</v>
      </c>
      <c r="D20" s="183">
        <f>C20*F21+C20</f>
        <v>0</v>
      </c>
      <c r="E20" s="176"/>
      <c r="F20" s="173"/>
      <c r="G20" s="87"/>
      <c r="H20" s="153"/>
      <c r="I20" s="184" t="s">
        <v>308</v>
      </c>
      <c r="J20" s="175">
        <f>'Bill of Materials'!I90+'Bill of Materials'!I91</f>
        <v>0</v>
      </c>
      <c r="K20" s="176"/>
      <c r="L20" s="176"/>
      <c r="M20" s="177"/>
      <c r="N20" s="87"/>
    </row>
    <row r="21" spans="1:15" ht="15" thickBot="1" x14ac:dyDescent="0.35">
      <c r="A21" s="153"/>
      <c r="B21" s="178" t="s">
        <v>198</v>
      </c>
      <c r="C21" s="179"/>
      <c r="D21" s="180">
        <f>((C17+C18+C19+C20)*F21)+C17+C18+C19+C20</f>
        <v>0</v>
      </c>
      <c r="E21" s="179"/>
      <c r="F21" s="149">
        <v>0.25</v>
      </c>
      <c r="G21" s="168"/>
      <c r="H21" s="185">
        <f>D21-K21</f>
        <v>0</v>
      </c>
      <c r="I21" s="186" t="s">
        <v>198</v>
      </c>
      <c r="J21" s="166"/>
      <c r="K21" s="167">
        <f>SUM(J17:J20)</f>
        <v>0</v>
      </c>
      <c r="L21" s="166"/>
      <c r="M21" s="141">
        <v>0</v>
      </c>
      <c r="N21" s="168"/>
      <c r="O21" s="237"/>
    </row>
    <row r="22" spans="1:15" ht="15" thickBot="1" x14ac:dyDescent="0.35">
      <c r="A22" s="334"/>
      <c r="B22" s="409" t="s">
        <v>231</v>
      </c>
      <c r="C22" s="410"/>
      <c r="D22" s="410"/>
      <c r="E22" s="410"/>
      <c r="F22" s="410"/>
      <c r="G22" s="411"/>
      <c r="H22" s="333"/>
      <c r="I22" s="409" t="s">
        <v>231</v>
      </c>
      <c r="J22" s="410"/>
      <c r="K22" s="410"/>
      <c r="L22" s="410"/>
      <c r="M22" s="410"/>
      <c r="N22" s="411"/>
    </row>
    <row r="23" spans="1:15" ht="15" thickBot="1" x14ac:dyDescent="0.35">
      <c r="A23" s="153"/>
      <c r="B23" s="186" t="s">
        <v>102</v>
      </c>
      <c r="C23" s="166"/>
      <c r="D23" s="167">
        <f ca="1">D8+D15+D21</f>
        <v>0</v>
      </c>
      <c r="E23" s="187" t="s">
        <v>176</v>
      </c>
      <c r="F23" s="188" t="s">
        <v>176</v>
      </c>
      <c r="G23" s="189" t="s">
        <v>176</v>
      </c>
      <c r="H23" s="190">
        <f ca="1">D23-K23</f>
        <v>0</v>
      </c>
      <c r="I23" s="186" t="s">
        <v>102</v>
      </c>
      <c r="J23" s="166"/>
      <c r="K23" s="167">
        <f ca="1">K8+K15+K21</f>
        <v>0</v>
      </c>
      <c r="L23" s="187" t="s">
        <v>176</v>
      </c>
      <c r="M23" s="188" t="s">
        <v>176</v>
      </c>
      <c r="N23" s="189" t="s">
        <v>176</v>
      </c>
      <c r="O23" s="237"/>
    </row>
    <row r="24" spans="1:15" ht="15" customHeight="1" thickBot="1" x14ac:dyDescent="0.35">
      <c r="A24" s="153"/>
      <c r="B24" s="186" t="s">
        <v>178</v>
      </c>
      <c r="C24" s="167">
        <f ca="1">D23-K23</f>
        <v>0</v>
      </c>
      <c r="D24" s="167">
        <f ca="1">D23</f>
        <v>0</v>
      </c>
      <c r="E24" s="191" t="s">
        <v>176</v>
      </c>
      <c r="F24" s="192" t="s">
        <v>176</v>
      </c>
      <c r="G24" s="193"/>
      <c r="H24" s="153"/>
      <c r="I24" s="186" t="s">
        <v>178</v>
      </c>
      <c r="J24" s="167">
        <f ca="1">K23-K32</f>
        <v>0</v>
      </c>
      <c r="K24" s="167">
        <f ca="1">K23</f>
        <v>0</v>
      </c>
      <c r="L24" s="191" t="s">
        <v>176</v>
      </c>
      <c r="M24" s="192" t="s">
        <v>176</v>
      </c>
      <c r="N24" s="189"/>
    </row>
    <row r="25" spans="1:15" x14ac:dyDescent="0.3">
      <c r="A25" s="153"/>
      <c r="B25" s="194" t="s">
        <v>179</v>
      </c>
      <c r="C25" s="150">
        <f ca="1">IF(D23,(D23/K23)-1,0)</f>
        <v>0</v>
      </c>
      <c r="D25" s="195"/>
      <c r="E25" s="195"/>
      <c r="F25" s="196"/>
      <c r="G25" s="197"/>
      <c r="H25" s="153"/>
      <c r="I25" s="194" t="s">
        <v>179</v>
      </c>
      <c r="J25" s="150">
        <f ca="1">IF(K23,(K23/K23)-1,0)</f>
        <v>0</v>
      </c>
      <c r="K25" s="195"/>
      <c r="L25" s="195"/>
      <c r="M25" s="196"/>
      <c r="N25" s="197"/>
    </row>
    <row r="26" spans="1:15" ht="15" thickBot="1" x14ac:dyDescent="0.35">
      <c r="A26" s="153"/>
      <c r="B26" s="198" t="s">
        <v>180</v>
      </c>
      <c r="C26" s="89">
        <f ca="1">IF(D23,1-(K23/D23),0)</f>
        <v>0</v>
      </c>
      <c r="D26" s="199"/>
      <c r="E26" s="199"/>
      <c r="F26" s="200"/>
      <c r="G26" s="201"/>
      <c r="H26" s="153"/>
      <c r="I26" s="198" t="s">
        <v>180</v>
      </c>
      <c r="J26" s="89">
        <f ca="1">IF(K23,1-(K23/K23),0)</f>
        <v>0</v>
      </c>
      <c r="K26" s="199"/>
      <c r="L26" s="199"/>
      <c r="M26" s="200"/>
      <c r="N26" s="201"/>
    </row>
    <row r="27" spans="1:15" ht="15" thickBot="1" x14ac:dyDescent="0.35">
      <c r="A27" s="334"/>
      <c r="B27" s="409" t="s">
        <v>181</v>
      </c>
      <c r="C27" s="410"/>
      <c r="D27" s="410"/>
      <c r="E27" s="410"/>
      <c r="F27" s="410"/>
      <c r="G27" s="411"/>
      <c r="H27" s="333"/>
      <c r="I27" s="409" t="s">
        <v>181</v>
      </c>
      <c r="J27" s="410"/>
      <c r="K27" s="410"/>
      <c r="L27" s="410"/>
      <c r="M27" s="410"/>
      <c r="N27" s="411"/>
    </row>
    <row r="28" spans="1:15" ht="16.2" thickBot="1" x14ac:dyDescent="0.35">
      <c r="A28" s="153"/>
      <c r="B28" s="202" t="s">
        <v>181</v>
      </c>
      <c r="C28" s="88"/>
      <c r="D28" s="182"/>
      <c r="E28" s="203" t="s">
        <v>176</v>
      </c>
      <c r="F28" s="204" t="s">
        <v>176</v>
      </c>
      <c r="G28" s="205" t="s">
        <v>182</v>
      </c>
      <c r="H28" s="153"/>
      <c r="I28" s="202" t="s">
        <v>181</v>
      </c>
      <c r="J28" s="175">
        <v>0</v>
      </c>
      <c r="K28" s="206">
        <f ca="1">K24+J28</f>
        <v>0</v>
      </c>
      <c r="L28" s="203" t="s">
        <v>176</v>
      </c>
      <c r="M28" s="204" t="s">
        <v>176</v>
      </c>
      <c r="N28" s="205"/>
    </row>
    <row r="29" spans="1:15" ht="15" customHeight="1" thickBot="1" x14ac:dyDescent="0.35">
      <c r="A29" s="153"/>
      <c r="B29" s="207" t="s">
        <v>183</v>
      </c>
      <c r="C29" s="208">
        <f ca="1">C24+C28</f>
        <v>0</v>
      </c>
      <c r="D29" s="208">
        <f ca="1">C28+D24</f>
        <v>0</v>
      </c>
      <c r="E29" s="209" t="s">
        <v>176</v>
      </c>
      <c r="F29" s="210"/>
      <c r="G29" s="211"/>
      <c r="H29" s="153"/>
      <c r="I29" s="207" t="s">
        <v>183</v>
      </c>
      <c r="J29" s="208">
        <f ca="1">J24+J28</f>
        <v>0</v>
      </c>
      <c r="K29" s="208">
        <f ca="1">J28+K28</f>
        <v>0</v>
      </c>
      <c r="L29" s="209" t="s">
        <v>176</v>
      </c>
      <c r="M29" s="210"/>
      <c r="N29" s="211"/>
    </row>
    <row r="30" spans="1:15" ht="15" customHeight="1" x14ac:dyDescent="0.3">
      <c r="A30" s="153"/>
      <c r="B30" s="194" t="s">
        <v>184</v>
      </c>
      <c r="C30" s="150">
        <f ca="1">IF(D23,(D32/K32)-1,0)</f>
        <v>0</v>
      </c>
      <c r="D30" s="195"/>
      <c r="E30" s="195"/>
      <c r="F30" s="196"/>
      <c r="G30" s="197"/>
      <c r="H30" s="153"/>
      <c r="I30" s="194" t="s">
        <v>184</v>
      </c>
      <c r="J30" s="150">
        <f ca="1">IF(K23,(K32/K32)-1,0)</f>
        <v>0</v>
      </c>
      <c r="K30" s="195"/>
      <c r="L30" s="195"/>
      <c r="M30" s="196"/>
      <c r="N30" s="197"/>
    </row>
    <row r="31" spans="1:15" ht="15" thickBot="1" x14ac:dyDescent="0.35">
      <c r="A31" s="153"/>
      <c r="B31" s="198" t="s">
        <v>185</v>
      </c>
      <c r="C31" s="89">
        <f ca="1">IF(D23,1-(K32/D29),0)</f>
        <v>0</v>
      </c>
      <c r="D31" s="199"/>
      <c r="E31" s="199"/>
      <c r="F31" s="200"/>
      <c r="G31" s="201"/>
      <c r="H31" s="153"/>
      <c r="I31" s="198" t="s">
        <v>185</v>
      </c>
      <c r="J31" s="89">
        <f ca="1">IF(K23,1-(K32/K32),0)</f>
        <v>0</v>
      </c>
      <c r="K31" s="199"/>
      <c r="L31" s="199"/>
      <c r="M31" s="200"/>
      <c r="N31" s="201"/>
    </row>
    <row r="32" spans="1:15" ht="16.2" thickBot="1" x14ac:dyDescent="0.35">
      <c r="A32" s="153"/>
      <c r="B32" s="296" t="s">
        <v>228</v>
      </c>
      <c r="C32" s="212" t="s">
        <v>176</v>
      </c>
      <c r="D32" s="213">
        <f ca="1">D29</f>
        <v>0</v>
      </c>
      <c r="E32" s="214"/>
      <c r="F32" s="215"/>
      <c r="G32" s="216"/>
      <c r="H32" s="169">
        <f ca="1">D32-K32</f>
        <v>0</v>
      </c>
      <c r="I32" s="296" t="s">
        <v>186</v>
      </c>
      <c r="J32" s="212" t="s">
        <v>176</v>
      </c>
      <c r="K32" s="213">
        <f ca="1">K29</f>
        <v>0</v>
      </c>
      <c r="L32" s="214"/>
      <c r="M32" s="215"/>
      <c r="N32" s="216"/>
    </row>
    <row r="33" spans="1:14" ht="15" thickBot="1" x14ac:dyDescent="0.35">
      <c r="A33" s="334"/>
      <c r="B33" s="409" t="s">
        <v>230</v>
      </c>
      <c r="C33" s="410"/>
      <c r="D33" s="410"/>
      <c r="E33" s="410"/>
      <c r="F33" s="410"/>
      <c r="G33" s="411"/>
      <c r="H33" s="333"/>
      <c r="I33" s="409" t="s">
        <v>230</v>
      </c>
      <c r="J33" s="410"/>
      <c r="K33" s="410"/>
      <c r="L33" s="410"/>
      <c r="M33" s="410"/>
      <c r="N33" s="411"/>
    </row>
    <row r="34" spans="1:14" ht="16.2" thickBot="1" x14ac:dyDescent="0.35">
      <c r="A34" s="153"/>
      <c r="B34" s="217" t="s">
        <v>236</v>
      </c>
      <c r="C34" s="167">
        <f ca="1">D32*F35</f>
        <v>0</v>
      </c>
      <c r="D34" s="218"/>
      <c r="E34" s="191"/>
      <c r="F34" s="219"/>
      <c r="G34" s="151"/>
      <c r="H34" s="169">
        <f ca="1">C34-J34</f>
        <v>0</v>
      </c>
      <c r="I34" s="155" t="s">
        <v>239</v>
      </c>
      <c r="J34" s="167">
        <f ca="1">K32*M35</f>
        <v>0</v>
      </c>
      <c r="K34" s="163"/>
      <c r="L34" s="220"/>
      <c r="M34" s="173"/>
      <c r="N34" s="85"/>
    </row>
    <row r="35" spans="1:14" ht="15" thickBot="1" x14ac:dyDescent="0.35">
      <c r="A35" s="153"/>
      <c r="B35" s="178" t="s">
        <v>229</v>
      </c>
      <c r="C35" s="179"/>
      <c r="D35" s="180">
        <f ca="1">D32+C34</f>
        <v>0</v>
      </c>
      <c r="E35" s="179"/>
      <c r="F35" s="152">
        <v>0.05</v>
      </c>
      <c r="G35" s="221"/>
      <c r="H35" s="153"/>
      <c r="I35" s="186" t="s">
        <v>229</v>
      </c>
      <c r="J35" s="166"/>
      <c r="K35" s="167">
        <f ca="1">K29+J34</f>
        <v>0</v>
      </c>
      <c r="L35" s="166"/>
      <c r="M35" s="152"/>
      <c r="N35" s="222"/>
    </row>
    <row r="36" spans="1:14" ht="15" customHeight="1" thickBot="1" x14ac:dyDescent="0.35">
      <c r="A36" s="153"/>
      <c r="B36" s="186" t="s">
        <v>237</v>
      </c>
      <c r="C36" s="167">
        <f ca="1">D32-K35</f>
        <v>0</v>
      </c>
      <c r="D36" s="167">
        <f ca="1">D35</f>
        <v>0</v>
      </c>
      <c r="E36" s="191" t="s">
        <v>176</v>
      </c>
      <c r="F36" s="192" t="s">
        <v>176</v>
      </c>
      <c r="G36" s="223"/>
      <c r="H36" s="169">
        <f ca="1">D36-K36</f>
        <v>0</v>
      </c>
      <c r="I36" s="186" t="s">
        <v>237</v>
      </c>
      <c r="J36" s="167">
        <f ca="1">K32-K35</f>
        <v>0</v>
      </c>
      <c r="K36" s="167">
        <f ca="1">J35+K35</f>
        <v>0</v>
      </c>
      <c r="L36" s="191" t="s">
        <v>176</v>
      </c>
      <c r="M36" s="192"/>
      <c r="N36" s="224"/>
    </row>
    <row r="37" spans="1:14" ht="15" customHeight="1" x14ac:dyDescent="0.3">
      <c r="A37" s="153"/>
      <c r="B37" s="194" t="s">
        <v>179</v>
      </c>
      <c r="C37" s="150">
        <f ca="1">IF(D35,(D35/K35)-1,0)</f>
        <v>0</v>
      </c>
      <c r="D37" s="195"/>
      <c r="E37" s="195"/>
      <c r="F37" s="196"/>
      <c r="G37" s="197"/>
      <c r="H37" s="153"/>
      <c r="I37" s="194" t="s">
        <v>179</v>
      </c>
      <c r="J37" s="150">
        <f ca="1">IF(K32,(K39/K39)-1,0)</f>
        <v>0</v>
      </c>
      <c r="K37" s="195"/>
      <c r="L37" s="195"/>
      <c r="M37" s="196"/>
      <c r="N37" s="197"/>
    </row>
    <row r="38" spans="1:14" ht="29.4" thickBot="1" x14ac:dyDescent="0.35">
      <c r="A38" s="153"/>
      <c r="B38" s="198" t="s">
        <v>238</v>
      </c>
      <c r="C38" s="89">
        <f ca="1">IF(D35,1-(K35/D35),0)</f>
        <v>0</v>
      </c>
      <c r="D38" s="199"/>
      <c r="E38" s="199"/>
      <c r="F38" s="200"/>
      <c r="G38" s="274" t="s">
        <v>241</v>
      </c>
      <c r="H38" s="153"/>
      <c r="I38" s="198" t="s">
        <v>238</v>
      </c>
      <c r="J38" s="89">
        <f ca="1">IF(K32,1-(K39/K39),0)</f>
        <v>0</v>
      </c>
      <c r="K38" s="199"/>
      <c r="L38" s="199"/>
      <c r="M38" s="200"/>
      <c r="N38" s="201"/>
    </row>
    <row r="39" spans="1:14" ht="16.2" thickBot="1" x14ac:dyDescent="0.35">
      <c r="A39" s="153"/>
      <c r="B39" s="296" t="s">
        <v>232</v>
      </c>
      <c r="C39" s="212" t="s">
        <v>176</v>
      </c>
      <c r="D39" s="213">
        <f ca="1">D36</f>
        <v>0</v>
      </c>
      <c r="E39" s="214"/>
      <c r="F39" s="215"/>
      <c r="G39" s="287"/>
      <c r="H39" s="169">
        <f ca="1">D39-K39</f>
        <v>0</v>
      </c>
      <c r="I39" s="296" t="s">
        <v>232</v>
      </c>
      <c r="J39" s="212" t="s">
        <v>176</v>
      </c>
      <c r="K39" s="213">
        <f ca="1">K36</f>
        <v>0</v>
      </c>
      <c r="L39" s="214"/>
      <c r="M39" s="215"/>
      <c r="N39" s="287"/>
    </row>
    <row r="40" spans="1:14" ht="15" thickBot="1" x14ac:dyDescent="0.35">
      <c r="A40" s="225"/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7"/>
    </row>
    <row r="41" spans="1:14" ht="15" thickBot="1" x14ac:dyDescent="0.35">
      <c r="A41" s="153"/>
      <c r="B41" s="412" t="s">
        <v>170</v>
      </c>
      <c r="C41" s="413"/>
      <c r="D41" s="413"/>
      <c r="E41" s="413"/>
      <c r="F41" s="413"/>
      <c r="G41" s="413"/>
      <c r="H41" s="413"/>
      <c r="I41" s="414"/>
    </row>
    <row r="42" spans="1:14" ht="15" thickBot="1" x14ac:dyDescent="0.35">
      <c r="A42" s="153"/>
      <c r="B42" s="403" t="s">
        <v>189</v>
      </c>
      <c r="C42" s="404"/>
      <c r="D42" s="267"/>
      <c r="E42" s="267"/>
      <c r="G42" s="229" t="s">
        <v>187</v>
      </c>
      <c r="H42" s="153"/>
      <c r="I42" s="90">
        <v>750000</v>
      </c>
    </row>
    <row r="43" spans="1:14" ht="15" thickBot="1" x14ac:dyDescent="0.35">
      <c r="A43" s="153"/>
      <c r="B43" s="297" t="s">
        <v>172</v>
      </c>
      <c r="C43" s="298" t="s">
        <v>173</v>
      </c>
      <c r="E43" s="228"/>
      <c r="G43" s="232" t="s">
        <v>543</v>
      </c>
      <c r="H43" s="153"/>
      <c r="I43" s="233">
        <f ca="1">IF(I42,K39/I42,0)</f>
        <v>0</v>
      </c>
    </row>
    <row r="44" spans="1:14" ht="15" thickBot="1" x14ac:dyDescent="0.35">
      <c r="A44" s="153"/>
      <c r="B44" s="238" t="s">
        <v>188</v>
      </c>
      <c r="C44" s="231">
        <f ca="1">D8</f>
        <v>0</v>
      </c>
      <c r="G44" s="235" t="s">
        <v>542</v>
      </c>
      <c r="H44" s="153"/>
      <c r="I44" s="236">
        <f ca="1">IF(I42,D39/I42,0)</f>
        <v>0</v>
      </c>
      <c r="J44" s="237"/>
    </row>
    <row r="45" spans="1:14" ht="15" thickBot="1" x14ac:dyDescent="0.35">
      <c r="A45" s="153"/>
      <c r="B45" s="238" t="s">
        <v>177</v>
      </c>
      <c r="C45" s="234">
        <f ca="1">D15</f>
        <v>0</v>
      </c>
      <c r="G45" s="240"/>
      <c r="H45" s="153"/>
      <c r="I45" s="240"/>
    </row>
    <row r="46" spans="1:14" x14ac:dyDescent="0.3">
      <c r="A46" s="153"/>
      <c r="B46" s="238" t="s">
        <v>235</v>
      </c>
      <c r="C46" s="239">
        <f ca="1">C34*D48</f>
        <v>0</v>
      </c>
      <c r="G46" s="242" t="s">
        <v>190</v>
      </c>
      <c r="H46" s="153"/>
      <c r="I46" s="91"/>
    </row>
    <row r="47" spans="1:14" ht="15" thickBot="1" x14ac:dyDescent="0.35">
      <c r="A47" s="153"/>
      <c r="B47" s="238" t="s">
        <v>181</v>
      </c>
      <c r="C47" s="241">
        <f ca="1">IF(D23,C28*D48,0)</f>
        <v>0</v>
      </c>
      <c r="G47" s="235" t="s">
        <v>544</v>
      </c>
      <c r="H47" s="153"/>
      <c r="I47" s="236">
        <f>IF(I46,(D39+I46)/I42,0)</f>
        <v>0</v>
      </c>
    </row>
    <row r="48" spans="1:14" ht="15" thickBot="1" x14ac:dyDescent="0.35">
      <c r="A48" s="153"/>
      <c r="B48" s="407" t="s">
        <v>189</v>
      </c>
      <c r="C48" s="408"/>
      <c r="D48" s="84">
        <f ca="1">IF(D23,(C44+C45)/D23,0)</f>
        <v>0</v>
      </c>
      <c r="G48" s="242" t="s">
        <v>192</v>
      </c>
      <c r="H48" s="153"/>
      <c r="I48" s="92">
        <v>8.2500000000000004E-2</v>
      </c>
      <c r="N48" s="247"/>
    </row>
    <row r="49" spans="1:9" ht="16.2" thickBot="1" x14ac:dyDescent="0.35">
      <c r="A49" s="153"/>
      <c r="B49" s="244"/>
      <c r="C49" s="245"/>
      <c r="D49" s="243">
        <f ca="1">SUM(C44:C47)</f>
        <v>0</v>
      </c>
      <c r="G49" s="235" t="s">
        <v>545</v>
      </c>
      <c r="H49" s="153"/>
      <c r="I49" s="236">
        <f>IF(I46,(D39+I46)/I42,0)*I48+IF(I46,(D39+I46)/I42,0)</f>
        <v>0</v>
      </c>
    </row>
    <row r="50" spans="1:9" ht="15" thickBot="1" x14ac:dyDescent="0.35">
      <c r="A50" s="153"/>
      <c r="B50" s="403" t="s">
        <v>191</v>
      </c>
      <c r="C50" s="404"/>
      <c r="D50" s="246"/>
      <c r="H50" s="153"/>
    </row>
    <row r="51" spans="1:9" ht="15" thickBot="1" x14ac:dyDescent="0.35">
      <c r="A51" s="153"/>
      <c r="B51" s="299" t="s">
        <v>172</v>
      </c>
      <c r="C51" s="300" t="s">
        <v>173</v>
      </c>
      <c r="H51" s="153"/>
    </row>
    <row r="52" spans="1:9" x14ac:dyDescent="0.3">
      <c r="A52" s="153"/>
      <c r="B52" s="238" t="s">
        <v>361</v>
      </c>
      <c r="C52" s="234">
        <f>D21</f>
        <v>0</v>
      </c>
      <c r="H52" s="153"/>
    </row>
    <row r="53" spans="1:9" x14ac:dyDescent="0.3">
      <c r="A53" s="153"/>
      <c r="B53" s="238" t="s">
        <v>235</v>
      </c>
      <c r="C53" s="239">
        <f ca="1">C34*D55</f>
        <v>0</v>
      </c>
      <c r="H53" s="153"/>
    </row>
    <row r="54" spans="1:9" ht="15" thickBot="1" x14ac:dyDescent="0.35">
      <c r="A54" s="153"/>
      <c r="B54" s="238" t="s">
        <v>181</v>
      </c>
      <c r="C54" s="234">
        <f ca="1">IF(D23,C28*D55,0)</f>
        <v>0</v>
      </c>
      <c r="H54" s="153"/>
    </row>
    <row r="55" spans="1:9" ht="15" thickBot="1" x14ac:dyDescent="0.35">
      <c r="A55" s="153"/>
      <c r="B55" s="407" t="s">
        <v>191</v>
      </c>
      <c r="C55" s="408"/>
      <c r="D55" s="84">
        <f ca="1">IF(D23,C52/D23,0)</f>
        <v>0</v>
      </c>
      <c r="H55" s="153"/>
    </row>
    <row r="56" spans="1:9" ht="16.2" thickBot="1" x14ac:dyDescent="0.35">
      <c r="A56" s="153"/>
      <c r="B56" s="244"/>
      <c r="C56" s="245"/>
      <c r="D56" s="243">
        <f ca="1">SUM(C52:C54)</f>
        <v>0</v>
      </c>
      <c r="H56" s="153"/>
    </row>
    <row r="57" spans="1:9" ht="15" thickBot="1" x14ac:dyDescent="0.35">
      <c r="A57" s="153"/>
      <c r="B57" s="405" t="s">
        <v>193</v>
      </c>
      <c r="C57" s="406"/>
      <c r="D57" s="246"/>
      <c r="H57" s="153"/>
    </row>
    <row r="58" spans="1:9" ht="15" thickBot="1" x14ac:dyDescent="0.35">
      <c r="B58" s="248" t="s">
        <v>203</v>
      </c>
      <c r="C58" s="249">
        <f ca="1">D49+D56</f>
        <v>0</v>
      </c>
      <c r="H58" s="153"/>
    </row>
    <row r="59" spans="1:9" ht="15" thickBot="1" x14ac:dyDescent="0.35">
      <c r="B59" s="230" t="s">
        <v>204</v>
      </c>
      <c r="C59" s="231">
        <f ca="1">(C58*D61)+C58</f>
        <v>0</v>
      </c>
    </row>
    <row r="60" spans="1:9" ht="15" thickBot="1" x14ac:dyDescent="0.35">
      <c r="B60" s="250" t="s">
        <v>205</v>
      </c>
      <c r="C60" s="241">
        <f ca="1">C59-C58</f>
        <v>0</v>
      </c>
      <c r="D60" s="298" t="s">
        <v>206</v>
      </c>
    </row>
    <row r="61" spans="1:9" ht="15" thickBot="1" x14ac:dyDescent="0.35">
      <c r="D61" s="251">
        <v>8.2500000000000004E-2</v>
      </c>
    </row>
  </sheetData>
  <mergeCells count="24">
    <mergeCell ref="I33:N33"/>
    <mergeCell ref="I22:N22"/>
    <mergeCell ref="B1:G1"/>
    <mergeCell ref="I1:N1"/>
    <mergeCell ref="B2:D2"/>
    <mergeCell ref="E2:G2"/>
    <mergeCell ref="I2:K2"/>
    <mergeCell ref="L2:N2"/>
    <mergeCell ref="B42:C42"/>
    <mergeCell ref="B57:C57"/>
    <mergeCell ref="B55:C55"/>
    <mergeCell ref="B4:G4"/>
    <mergeCell ref="I4:N4"/>
    <mergeCell ref="B16:G16"/>
    <mergeCell ref="I16:N16"/>
    <mergeCell ref="B9:G9"/>
    <mergeCell ref="I9:N9"/>
    <mergeCell ref="B41:I41"/>
    <mergeCell ref="B48:C48"/>
    <mergeCell ref="B50:C50"/>
    <mergeCell ref="B22:G22"/>
    <mergeCell ref="B27:G27"/>
    <mergeCell ref="I27:N27"/>
    <mergeCell ref="B33:G33"/>
  </mergeCells>
  <hyperlinks>
    <hyperlink ref="G5" location="'Labor Projections'!A1" display="Labor Projections" xr:uid="{6AB4DA6A-C302-4496-8848-1FDED594AE31}"/>
    <hyperlink ref="G17" location="'Bill of Materials'!A1" display="Bill of Materials" xr:uid="{FB4CD8A0-8E81-4917-B47A-AECE57E78FD3}"/>
    <hyperlink ref="G6" location="'Labor Projections'!A1" display="Labor Projections" xr:uid="{91EAA516-1E55-431B-94C2-D5C302F4A9FE}"/>
    <hyperlink ref="N5:N6" location="'Labor Projections'!A1" display="Labor Projections" xr:uid="{94E42334-0B23-4458-931E-E9C91DF2EC12}"/>
    <hyperlink ref="G18:G19" location="'Bill of Materials'!A1" display="Bill of Materials" xr:uid="{284E5E01-60E7-4ACE-8E4F-16B36A55F8A8}"/>
    <hyperlink ref="N17:N19" location="'Bill of Materials'!A1" display="Bill of Materials" xr:uid="{9F66948C-E9E5-48A0-9225-4A7D8F081762}"/>
    <hyperlink ref="G10" location="'Pass Throughs'!A1" display="Pass Throughs" xr:uid="{4E1361FE-5678-4BF5-BC54-9898E3D3E210}"/>
    <hyperlink ref="G11:G13" location="'Pass Throughs'!A1" display="Pass Throughs" xr:uid="{48B6DBBA-738D-44CF-A51F-9DC6F03E2969}"/>
    <hyperlink ref="N10:N13" location="'Pass Throughs'!A1" display="Pass Throughs" xr:uid="{9E435141-BCF7-460C-8562-760F7A15C7CC}"/>
  </hyperlinks>
  <pageMargins left="0.75" right="0.75" top="1" bottom="1" header="0.5" footer="0.5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3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12" sqref="B12"/>
    </sheetView>
  </sheetViews>
  <sheetFormatPr defaultColWidth="9.21875" defaultRowHeight="13.2" x14ac:dyDescent="0.25"/>
  <cols>
    <col min="1" max="1" width="17.6640625" customWidth="1"/>
    <col min="2" max="2" width="23.77734375" style="82" customWidth="1"/>
    <col min="3" max="3" width="26.109375" style="82" customWidth="1"/>
    <col min="4" max="4" width="79.33203125" style="340" customWidth="1"/>
    <col min="5" max="5" width="17.5546875" bestFit="1" customWidth="1"/>
    <col min="6" max="6" width="17.5546875" style="338" customWidth="1"/>
    <col min="7" max="7" width="17.5546875" customWidth="1"/>
    <col min="8" max="8" width="25.5546875" customWidth="1"/>
    <col min="9" max="9" width="21.44140625" bestFit="1" customWidth="1"/>
    <col min="10" max="10" width="15.44140625" bestFit="1" customWidth="1"/>
  </cols>
  <sheetData>
    <row r="1" spans="1:10" ht="16.2" thickBot="1" x14ac:dyDescent="0.35">
      <c r="A1" s="369" t="s">
        <v>122</v>
      </c>
      <c r="B1" s="369"/>
      <c r="C1" s="369"/>
      <c r="D1" s="367" t="s">
        <v>123</v>
      </c>
      <c r="E1" s="367"/>
      <c r="F1" s="368"/>
      <c r="G1" s="367"/>
      <c r="H1" s="341" t="s">
        <v>131</v>
      </c>
      <c r="I1" s="115">
        <f>I92</f>
        <v>0</v>
      </c>
      <c r="J1" s="72"/>
    </row>
    <row r="2" spans="1:10" ht="18.899999999999999" customHeight="1" x14ac:dyDescent="0.25">
      <c r="A2" s="339" t="s">
        <v>101</v>
      </c>
      <c r="B2" s="339" t="s">
        <v>99</v>
      </c>
      <c r="C2" s="339" t="s">
        <v>100</v>
      </c>
      <c r="D2" s="339" t="s">
        <v>2</v>
      </c>
      <c r="E2" s="339" t="s">
        <v>0</v>
      </c>
      <c r="F2" s="335" t="s">
        <v>309</v>
      </c>
      <c r="G2" s="339" t="s">
        <v>1</v>
      </c>
      <c r="H2" s="342" t="s">
        <v>3</v>
      </c>
      <c r="I2" s="294" t="s">
        <v>4</v>
      </c>
      <c r="J2" s="294" t="s">
        <v>112</v>
      </c>
    </row>
    <row r="3" spans="1:10" ht="13.8" x14ac:dyDescent="0.25">
      <c r="A3" s="291" t="s">
        <v>420</v>
      </c>
      <c r="B3" s="291" t="s">
        <v>421</v>
      </c>
      <c r="C3" s="291">
        <v>582137200</v>
      </c>
      <c r="D3" s="291" t="s">
        <v>422</v>
      </c>
      <c r="E3" s="30"/>
      <c r="F3" s="336" t="s">
        <v>347</v>
      </c>
      <c r="G3" s="30" t="s">
        <v>360</v>
      </c>
      <c r="H3" s="343">
        <v>4685</v>
      </c>
      <c r="I3" s="73">
        <f t="shared" ref="I3:I10" si="0">H3*E3</f>
        <v>0</v>
      </c>
      <c r="J3" s="74">
        <f t="shared" ref="J3:J10" si="1">IF(I3=0,0,I3/I$1)</f>
        <v>0</v>
      </c>
    </row>
    <row r="4" spans="1:10" ht="13.8" x14ac:dyDescent="0.25">
      <c r="A4" s="291" t="s">
        <v>420</v>
      </c>
      <c r="B4" s="291" t="s">
        <v>430</v>
      </c>
      <c r="C4" s="291" t="s">
        <v>431</v>
      </c>
      <c r="D4" s="291" t="s">
        <v>432</v>
      </c>
      <c r="E4" s="30"/>
      <c r="F4" s="336" t="s">
        <v>347</v>
      </c>
      <c r="G4" s="30" t="s">
        <v>360</v>
      </c>
      <c r="H4" s="343">
        <v>360</v>
      </c>
      <c r="I4" s="73">
        <f>H4*E4</f>
        <v>0</v>
      </c>
      <c r="J4" s="74">
        <f>IF(I4=0,0,I4/I$1)</f>
        <v>0</v>
      </c>
    </row>
    <row r="5" spans="1:10" ht="13.8" x14ac:dyDescent="0.25">
      <c r="A5" s="291" t="s">
        <v>420</v>
      </c>
      <c r="B5" s="291" t="s">
        <v>493</v>
      </c>
      <c r="C5" s="291" t="s">
        <v>494</v>
      </c>
      <c r="D5" s="291" t="s">
        <v>495</v>
      </c>
      <c r="E5" s="30"/>
      <c r="F5" s="336" t="s">
        <v>347</v>
      </c>
      <c r="G5" s="30" t="s">
        <v>360</v>
      </c>
      <c r="H5" s="343">
        <v>35</v>
      </c>
      <c r="I5" s="73">
        <f t="shared" si="0"/>
        <v>0</v>
      </c>
      <c r="J5" s="74">
        <f t="shared" si="1"/>
        <v>0</v>
      </c>
    </row>
    <row r="6" spans="1:10" ht="27.6" x14ac:dyDescent="0.25">
      <c r="A6" s="291" t="s">
        <v>463</v>
      </c>
      <c r="B6" s="291" t="s">
        <v>444</v>
      </c>
      <c r="C6" s="291" t="s">
        <v>506</v>
      </c>
      <c r="D6" s="291" t="s">
        <v>507</v>
      </c>
      <c r="E6" s="30"/>
      <c r="F6" s="336" t="s">
        <v>347</v>
      </c>
      <c r="G6" s="30" t="s">
        <v>360</v>
      </c>
      <c r="H6" s="343">
        <v>1160</v>
      </c>
      <c r="I6" s="73">
        <f t="shared" si="0"/>
        <v>0</v>
      </c>
      <c r="J6" s="74">
        <f t="shared" si="1"/>
        <v>0</v>
      </c>
    </row>
    <row r="7" spans="1:10" ht="13.8" x14ac:dyDescent="0.25">
      <c r="A7" s="291" t="s">
        <v>463</v>
      </c>
      <c r="B7" s="291" t="s">
        <v>498</v>
      </c>
      <c r="C7" s="291" t="s">
        <v>499</v>
      </c>
      <c r="D7" s="291" t="s">
        <v>500</v>
      </c>
      <c r="E7" s="30"/>
      <c r="F7" s="336" t="s">
        <v>347</v>
      </c>
      <c r="G7" s="30" t="s">
        <v>360</v>
      </c>
      <c r="H7" s="365">
        <v>1350</v>
      </c>
      <c r="I7" s="73">
        <f>H7*E7</f>
        <v>0</v>
      </c>
      <c r="J7" s="74">
        <f>IF(I7=0,0,I7/I$1)</f>
        <v>0</v>
      </c>
    </row>
    <row r="8" spans="1:10" ht="13.8" x14ac:dyDescent="0.25">
      <c r="A8" s="291" t="s">
        <v>501</v>
      </c>
      <c r="B8" s="291" t="s">
        <v>498</v>
      </c>
      <c r="C8" s="291" t="s">
        <v>502</v>
      </c>
      <c r="D8" s="291" t="s">
        <v>503</v>
      </c>
      <c r="E8" s="30"/>
      <c r="F8" s="336" t="s">
        <v>347</v>
      </c>
      <c r="G8" s="30" t="s">
        <v>360</v>
      </c>
      <c r="H8" s="365">
        <v>1000</v>
      </c>
      <c r="I8" s="73">
        <f t="shared" si="0"/>
        <v>0</v>
      </c>
      <c r="J8" s="74">
        <f t="shared" si="1"/>
        <v>0</v>
      </c>
    </row>
    <row r="9" spans="1:10" ht="13.8" x14ac:dyDescent="0.25">
      <c r="A9" s="291" t="s">
        <v>34</v>
      </c>
      <c r="B9" s="291" t="s">
        <v>498</v>
      </c>
      <c r="C9" s="291" t="s">
        <v>504</v>
      </c>
      <c r="D9" s="291" t="s">
        <v>505</v>
      </c>
      <c r="E9" s="30"/>
      <c r="F9" s="336" t="s">
        <v>347</v>
      </c>
      <c r="G9" s="30" t="s">
        <v>360</v>
      </c>
      <c r="H9" s="365">
        <v>840</v>
      </c>
      <c r="I9" s="73">
        <f t="shared" si="0"/>
        <v>0</v>
      </c>
      <c r="J9" s="74">
        <f t="shared" si="1"/>
        <v>0</v>
      </c>
    </row>
    <row r="10" spans="1:10" ht="27.6" x14ac:dyDescent="0.25">
      <c r="A10" s="291" t="s">
        <v>34</v>
      </c>
      <c r="B10" s="291" t="s">
        <v>371</v>
      </c>
      <c r="C10" s="291" t="s">
        <v>437</v>
      </c>
      <c r="D10" s="291" t="s">
        <v>438</v>
      </c>
      <c r="E10" s="30"/>
      <c r="F10" s="336" t="s">
        <v>347</v>
      </c>
      <c r="G10" s="30" t="s">
        <v>360</v>
      </c>
      <c r="H10" s="343">
        <v>192</v>
      </c>
      <c r="I10" s="73">
        <f t="shared" si="0"/>
        <v>0</v>
      </c>
      <c r="J10" s="74">
        <f t="shared" si="1"/>
        <v>0</v>
      </c>
    </row>
    <row r="11" spans="1:10" ht="27.6" x14ac:dyDescent="0.25">
      <c r="A11" s="291" t="s">
        <v>34</v>
      </c>
      <c r="B11" s="291" t="s">
        <v>324</v>
      </c>
      <c r="C11" s="291" t="s">
        <v>510</v>
      </c>
      <c r="D11" s="291" t="s">
        <v>511</v>
      </c>
      <c r="E11" s="30"/>
      <c r="F11" s="336" t="s">
        <v>347</v>
      </c>
      <c r="G11" s="30" t="s">
        <v>360</v>
      </c>
      <c r="H11" s="343">
        <v>344</v>
      </c>
      <c r="I11" s="73">
        <f t="shared" ref="I11" si="2">H11*E11</f>
        <v>0</v>
      </c>
      <c r="J11" s="74">
        <f t="shared" ref="J11" si="3">IF(I11=0,0,I11/I$1)</f>
        <v>0</v>
      </c>
    </row>
    <row r="12" spans="1:10" ht="13.8" x14ac:dyDescent="0.25">
      <c r="A12" s="359" t="s">
        <v>414</v>
      </c>
      <c r="B12" s="360" t="s">
        <v>377</v>
      </c>
      <c r="C12" s="359"/>
      <c r="D12" s="360" t="s">
        <v>428</v>
      </c>
      <c r="E12" s="362"/>
      <c r="F12" s="336" t="s">
        <v>347</v>
      </c>
      <c r="G12" s="30" t="s">
        <v>360</v>
      </c>
      <c r="H12" s="358">
        <v>42</v>
      </c>
      <c r="I12" s="73">
        <f t="shared" ref="I12:I33" si="4">H12*E12</f>
        <v>0</v>
      </c>
      <c r="J12" s="74">
        <f t="shared" ref="J12:J20" si="5">IF(I12=0,0,I12/I$1)</f>
        <v>0</v>
      </c>
    </row>
    <row r="13" spans="1:10" ht="13.8" x14ac:dyDescent="0.25">
      <c r="A13" s="359" t="s">
        <v>414</v>
      </c>
      <c r="B13" s="360" t="s">
        <v>377</v>
      </c>
      <c r="C13" s="359"/>
      <c r="D13" s="360" t="s">
        <v>429</v>
      </c>
      <c r="E13" s="30"/>
      <c r="F13" s="336" t="s">
        <v>347</v>
      </c>
      <c r="G13" s="30" t="s">
        <v>360</v>
      </c>
      <c r="H13" s="358">
        <v>42</v>
      </c>
      <c r="I13" s="73">
        <f t="shared" si="4"/>
        <v>0</v>
      </c>
      <c r="J13" s="74">
        <f t="shared" si="5"/>
        <v>0</v>
      </c>
    </row>
    <row r="14" spans="1:10" ht="13.8" x14ac:dyDescent="0.25">
      <c r="A14" s="359" t="s">
        <v>414</v>
      </c>
      <c r="B14" s="360" t="s">
        <v>516</v>
      </c>
      <c r="C14" s="359" t="s">
        <v>517</v>
      </c>
      <c r="D14" s="360" t="s">
        <v>518</v>
      </c>
      <c r="E14" s="30"/>
      <c r="F14" s="336" t="s">
        <v>347</v>
      </c>
      <c r="G14" s="30" t="s">
        <v>360</v>
      </c>
      <c r="H14" s="358">
        <v>29.81</v>
      </c>
      <c r="I14" s="73">
        <f t="shared" si="4"/>
        <v>0</v>
      </c>
      <c r="J14" s="74">
        <f t="shared" si="5"/>
        <v>0</v>
      </c>
    </row>
    <row r="15" spans="1:10" ht="13.8" x14ac:dyDescent="0.25">
      <c r="A15" s="359" t="s">
        <v>415</v>
      </c>
      <c r="B15" s="360" t="s">
        <v>435</v>
      </c>
      <c r="C15" s="359" t="s">
        <v>436</v>
      </c>
      <c r="D15" s="360" t="s">
        <v>418</v>
      </c>
      <c r="E15" s="361"/>
      <c r="F15" s="336" t="s">
        <v>347</v>
      </c>
      <c r="G15" s="30" t="s">
        <v>360</v>
      </c>
      <c r="H15" s="358">
        <v>1900</v>
      </c>
      <c r="I15" s="73">
        <f t="shared" si="4"/>
        <v>0</v>
      </c>
      <c r="J15" s="74">
        <f t="shared" si="5"/>
        <v>0</v>
      </c>
    </row>
    <row r="16" spans="1:10" ht="13.8" x14ac:dyDescent="0.25">
      <c r="A16" s="359" t="s">
        <v>415</v>
      </c>
      <c r="B16" s="360" t="s">
        <v>416</v>
      </c>
      <c r="C16" s="359" t="s">
        <v>417</v>
      </c>
      <c r="D16" s="360" t="s">
        <v>418</v>
      </c>
      <c r="E16" s="361"/>
      <c r="F16" s="336" t="s">
        <v>347</v>
      </c>
      <c r="G16" s="30" t="s">
        <v>360</v>
      </c>
      <c r="H16" s="358">
        <v>964.22</v>
      </c>
      <c r="I16" s="73">
        <f t="shared" si="4"/>
        <v>0</v>
      </c>
      <c r="J16" s="74">
        <f t="shared" si="5"/>
        <v>0</v>
      </c>
    </row>
    <row r="17" spans="1:10" ht="13.8" x14ac:dyDescent="0.25">
      <c r="A17" s="359" t="s">
        <v>415</v>
      </c>
      <c r="B17" s="360" t="s">
        <v>423</v>
      </c>
      <c r="C17" s="359" t="s">
        <v>424</v>
      </c>
      <c r="D17" s="360" t="s">
        <v>425</v>
      </c>
      <c r="E17" s="361"/>
      <c r="F17" s="336" t="s">
        <v>347</v>
      </c>
      <c r="G17" s="30" t="s">
        <v>360</v>
      </c>
      <c r="H17" s="358">
        <v>1087.8900000000001</v>
      </c>
      <c r="I17" s="73">
        <f t="shared" si="4"/>
        <v>0</v>
      </c>
      <c r="J17" s="74">
        <f t="shared" si="5"/>
        <v>0</v>
      </c>
    </row>
    <row r="18" spans="1:10" ht="13.8" x14ac:dyDescent="0.25">
      <c r="A18" s="359" t="s">
        <v>415</v>
      </c>
      <c r="B18" s="360" t="s">
        <v>423</v>
      </c>
      <c r="C18" s="359" t="s">
        <v>426</v>
      </c>
      <c r="D18" s="360" t="s">
        <v>427</v>
      </c>
      <c r="E18" s="361"/>
      <c r="F18" s="336" t="s">
        <v>347</v>
      </c>
      <c r="G18" s="30" t="s">
        <v>360</v>
      </c>
      <c r="H18" s="358">
        <v>640</v>
      </c>
      <c r="I18" s="73">
        <f t="shared" si="4"/>
        <v>0</v>
      </c>
      <c r="J18" s="74">
        <f t="shared" si="5"/>
        <v>0</v>
      </c>
    </row>
    <row r="19" spans="1:10" ht="13.8" x14ac:dyDescent="0.25">
      <c r="A19" s="359" t="s">
        <v>415</v>
      </c>
      <c r="B19" s="360" t="s">
        <v>423</v>
      </c>
      <c r="C19" s="359" t="s">
        <v>519</v>
      </c>
      <c r="D19" s="360" t="s">
        <v>520</v>
      </c>
      <c r="E19" s="361"/>
      <c r="F19" s="336" t="s">
        <v>347</v>
      </c>
      <c r="G19" s="30" t="s">
        <v>360</v>
      </c>
      <c r="H19" s="358">
        <v>450</v>
      </c>
      <c r="I19" s="73">
        <f t="shared" si="4"/>
        <v>0</v>
      </c>
      <c r="J19" s="74">
        <f t="shared" si="5"/>
        <v>0</v>
      </c>
    </row>
    <row r="20" spans="1:10" ht="13.8" x14ac:dyDescent="0.25">
      <c r="A20" s="359" t="s">
        <v>441</v>
      </c>
      <c r="B20" s="360" t="s">
        <v>324</v>
      </c>
      <c r="C20" s="359" t="s">
        <v>439</v>
      </c>
      <c r="D20" s="360" t="s">
        <v>440</v>
      </c>
      <c r="E20" s="361"/>
      <c r="F20" s="336" t="s">
        <v>347</v>
      </c>
      <c r="G20" s="30" t="s">
        <v>360</v>
      </c>
      <c r="H20" s="358">
        <v>50</v>
      </c>
      <c r="I20" s="73">
        <f t="shared" si="4"/>
        <v>0</v>
      </c>
      <c r="J20" s="74">
        <f t="shared" si="5"/>
        <v>0</v>
      </c>
    </row>
    <row r="21" spans="1:10" ht="13.8" x14ac:dyDescent="0.25">
      <c r="A21" s="291" t="s">
        <v>370</v>
      </c>
      <c r="B21" s="291" t="s">
        <v>355</v>
      </c>
      <c r="C21" s="291" t="s">
        <v>375</v>
      </c>
      <c r="D21" s="291" t="s">
        <v>376</v>
      </c>
      <c r="E21" s="30"/>
      <c r="F21" s="336" t="s">
        <v>347</v>
      </c>
      <c r="G21" s="30" t="s">
        <v>360</v>
      </c>
      <c r="H21" s="343">
        <v>400</v>
      </c>
      <c r="I21" s="73">
        <f t="shared" si="4"/>
        <v>0</v>
      </c>
      <c r="J21" s="74">
        <f t="shared" ref="J21:J37" si="6">IF(I21=0,0,I21/I$1)</f>
        <v>0</v>
      </c>
    </row>
    <row r="22" spans="1:10" ht="27.6" x14ac:dyDescent="0.25">
      <c r="A22" s="359" t="s">
        <v>370</v>
      </c>
      <c r="B22" s="360" t="s">
        <v>444</v>
      </c>
      <c r="C22" s="359" t="s">
        <v>445</v>
      </c>
      <c r="D22" s="360" t="s">
        <v>446</v>
      </c>
      <c r="E22" s="361"/>
      <c r="F22" s="336" t="s">
        <v>347</v>
      </c>
      <c r="G22" s="30" t="s">
        <v>360</v>
      </c>
      <c r="H22" s="364">
        <v>128</v>
      </c>
      <c r="I22" s="73">
        <f t="shared" si="4"/>
        <v>0</v>
      </c>
      <c r="J22" s="74">
        <f t="shared" si="6"/>
        <v>0</v>
      </c>
    </row>
    <row r="23" spans="1:10" ht="27.6" x14ac:dyDescent="0.25">
      <c r="A23" s="359" t="s">
        <v>370</v>
      </c>
      <c r="B23" s="360" t="s">
        <v>444</v>
      </c>
      <c r="C23" s="359" t="s">
        <v>447</v>
      </c>
      <c r="D23" s="360" t="s">
        <v>448</v>
      </c>
      <c r="E23" s="361"/>
      <c r="F23" s="336" t="s">
        <v>347</v>
      </c>
      <c r="G23" s="30" t="s">
        <v>360</v>
      </c>
      <c r="H23" s="364">
        <v>119</v>
      </c>
      <c r="I23" s="73">
        <f t="shared" si="4"/>
        <v>0</v>
      </c>
      <c r="J23" s="74">
        <f t="shared" si="6"/>
        <v>0</v>
      </c>
    </row>
    <row r="24" spans="1:10" ht="27.6" x14ac:dyDescent="0.25">
      <c r="A24" s="359" t="s">
        <v>370</v>
      </c>
      <c r="B24" s="360" t="s">
        <v>444</v>
      </c>
      <c r="C24" s="359" t="s">
        <v>449</v>
      </c>
      <c r="D24" s="360" t="s">
        <v>450</v>
      </c>
      <c r="E24" s="361"/>
      <c r="F24" s="336" t="s">
        <v>347</v>
      </c>
      <c r="G24" s="30" t="s">
        <v>360</v>
      </c>
      <c r="H24" s="364">
        <v>125</v>
      </c>
      <c r="I24" s="73">
        <f t="shared" si="4"/>
        <v>0</v>
      </c>
      <c r="J24" s="74">
        <f t="shared" si="6"/>
        <v>0</v>
      </c>
    </row>
    <row r="25" spans="1:10" ht="27.6" x14ac:dyDescent="0.25">
      <c r="A25" s="359" t="s">
        <v>370</v>
      </c>
      <c r="B25" s="360" t="s">
        <v>444</v>
      </c>
      <c r="C25" s="359" t="s">
        <v>451</v>
      </c>
      <c r="D25" s="360" t="s">
        <v>452</v>
      </c>
      <c r="E25" s="361"/>
      <c r="F25" s="336" t="s">
        <v>347</v>
      </c>
      <c r="G25" s="30" t="s">
        <v>360</v>
      </c>
      <c r="H25" s="364">
        <v>94</v>
      </c>
      <c r="I25" s="73">
        <f t="shared" si="4"/>
        <v>0</v>
      </c>
      <c r="J25" s="74">
        <f t="shared" si="6"/>
        <v>0</v>
      </c>
    </row>
    <row r="26" spans="1:10" ht="27.6" x14ac:dyDescent="0.25">
      <c r="A26" s="359" t="s">
        <v>370</v>
      </c>
      <c r="B26" s="360" t="s">
        <v>444</v>
      </c>
      <c r="C26" s="359" t="s">
        <v>453</v>
      </c>
      <c r="D26" s="360" t="s">
        <v>454</v>
      </c>
      <c r="E26" s="361"/>
      <c r="F26" s="336" t="s">
        <v>347</v>
      </c>
      <c r="G26" s="30" t="s">
        <v>360</v>
      </c>
      <c r="H26" s="364">
        <v>159</v>
      </c>
      <c r="I26" s="73">
        <f t="shared" si="4"/>
        <v>0</v>
      </c>
      <c r="J26" s="74">
        <f t="shared" si="6"/>
        <v>0</v>
      </c>
    </row>
    <row r="27" spans="1:10" ht="27.6" x14ac:dyDescent="0.25">
      <c r="A27" s="359" t="s">
        <v>370</v>
      </c>
      <c r="B27" s="360" t="s">
        <v>444</v>
      </c>
      <c r="C27" s="359" t="s">
        <v>455</v>
      </c>
      <c r="D27" s="360" t="s">
        <v>456</v>
      </c>
      <c r="E27" s="361"/>
      <c r="F27" s="336" t="s">
        <v>347</v>
      </c>
      <c r="G27" s="30" t="s">
        <v>360</v>
      </c>
      <c r="H27" s="364">
        <v>125</v>
      </c>
      <c r="I27" s="73">
        <f t="shared" si="4"/>
        <v>0</v>
      </c>
      <c r="J27" s="74">
        <f t="shared" si="6"/>
        <v>0</v>
      </c>
    </row>
    <row r="28" spans="1:10" ht="27.6" x14ac:dyDescent="0.25">
      <c r="A28" s="359" t="s">
        <v>370</v>
      </c>
      <c r="B28" s="360" t="s">
        <v>444</v>
      </c>
      <c r="C28" s="359" t="s">
        <v>457</v>
      </c>
      <c r="D28" s="360" t="s">
        <v>458</v>
      </c>
      <c r="E28" s="361"/>
      <c r="F28" s="336" t="s">
        <v>347</v>
      </c>
      <c r="G28" s="30" t="s">
        <v>360</v>
      </c>
      <c r="H28" s="364">
        <v>193</v>
      </c>
      <c r="I28" s="73">
        <f t="shared" si="4"/>
        <v>0</v>
      </c>
      <c r="J28" s="74">
        <f t="shared" si="6"/>
        <v>0</v>
      </c>
    </row>
    <row r="29" spans="1:10" ht="27.6" x14ac:dyDescent="0.25">
      <c r="A29" s="359" t="s">
        <v>370</v>
      </c>
      <c r="B29" s="360" t="s">
        <v>444</v>
      </c>
      <c r="C29" s="359" t="s">
        <v>489</v>
      </c>
      <c r="D29" s="360" t="s">
        <v>490</v>
      </c>
      <c r="E29" s="361"/>
      <c r="F29" s="336" t="s">
        <v>347</v>
      </c>
      <c r="G29" s="30" t="s">
        <v>360</v>
      </c>
      <c r="H29" s="364">
        <v>119</v>
      </c>
      <c r="I29" s="73">
        <f t="shared" si="4"/>
        <v>0</v>
      </c>
      <c r="J29" s="74">
        <f t="shared" si="6"/>
        <v>0</v>
      </c>
    </row>
    <row r="30" spans="1:10" ht="13.8" x14ac:dyDescent="0.25">
      <c r="A30" s="359" t="s">
        <v>459</v>
      </c>
      <c r="B30" s="360" t="s">
        <v>460</v>
      </c>
      <c r="C30" s="359" t="s">
        <v>461</v>
      </c>
      <c r="D30" s="360" t="s">
        <v>462</v>
      </c>
      <c r="E30" s="361"/>
      <c r="F30" s="336" t="s">
        <v>347</v>
      </c>
      <c r="G30" s="30" t="s">
        <v>360</v>
      </c>
      <c r="H30" s="358">
        <v>1900</v>
      </c>
      <c r="I30" s="73">
        <f t="shared" si="4"/>
        <v>0</v>
      </c>
      <c r="J30" s="74">
        <f t="shared" si="6"/>
        <v>0</v>
      </c>
    </row>
    <row r="31" spans="1:10" ht="13.8" x14ac:dyDescent="0.25">
      <c r="A31" s="359" t="s">
        <v>378</v>
      </c>
      <c r="B31" s="360" t="s">
        <v>379</v>
      </c>
      <c r="C31" s="359" t="s">
        <v>380</v>
      </c>
      <c r="D31" s="360" t="s">
        <v>381</v>
      </c>
      <c r="E31" s="361"/>
      <c r="F31" s="336" t="s">
        <v>347</v>
      </c>
      <c r="G31" s="30" t="s">
        <v>360</v>
      </c>
      <c r="H31" s="358">
        <v>230</v>
      </c>
      <c r="I31" s="73">
        <f t="shared" si="4"/>
        <v>0</v>
      </c>
      <c r="J31" s="74">
        <f t="shared" si="6"/>
        <v>0</v>
      </c>
    </row>
    <row r="32" spans="1:10" ht="27.6" x14ac:dyDescent="0.25">
      <c r="A32" s="359" t="s">
        <v>52</v>
      </c>
      <c r="B32" s="360" t="s">
        <v>382</v>
      </c>
      <c r="C32" s="359" t="s">
        <v>508</v>
      </c>
      <c r="D32" s="360" t="s">
        <v>509</v>
      </c>
      <c r="E32" s="361"/>
      <c r="F32" s="336" t="s">
        <v>347</v>
      </c>
      <c r="G32" s="30" t="s">
        <v>360</v>
      </c>
      <c r="H32" s="358">
        <v>3.5</v>
      </c>
      <c r="I32" s="73">
        <f t="shared" si="4"/>
        <v>0</v>
      </c>
      <c r="J32" s="74">
        <f t="shared" si="6"/>
        <v>0</v>
      </c>
    </row>
    <row r="33" spans="1:10" ht="27.6" x14ac:dyDescent="0.25">
      <c r="A33" s="359" t="s">
        <v>52</v>
      </c>
      <c r="B33" s="360" t="s">
        <v>419</v>
      </c>
      <c r="C33" s="359" t="s">
        <v>491</v>
      </c>
      <c r="D33" s="360" t="s">
        <v>492</v>
      </c>
      <c r="E33" s="361"/>
      <c r="F33" s="336" t="s">
        <v>347</v>
      </c>
      <c r="G33" s="30" t="s">
        <v>360</v>
      </c>
      <c r="H33" s="358">
        <v>2.0299999999999998</v>
      </c>
      <c r="I33" s="73">
        <f t="shared" si="4"/>
        <v>0</v>
      </c>
      <c r="J33" s="74">
        <f t="shared" si="6"/>
        <v>0</v>
      </c>
    </row>
    <row r="34" spans="1:10" ht="13.8" x14ac:dyDescent="0.25">
      <c r="A34" s="359" t="s">
        <v>434</v>
      </c>
      <c r="B34" s="360" t="s">
        <v>382</v>
      </c>
      <c r="C34" s="359" t="s">
        <v>383</v>
      </c>
      <c r="D34" s="360" t="s">
        <v>384</v>
      </c>
      <c r="E34" s="361"/>
      <c r="F34" s="336" t="s">
        <v>347</v>
      </c>
      <c r="G34" s="30" t="s">
        <v>360</v>
      </c>
      <c r="H34" s="358">
        <v>2.0299999999999998</v>
      </c>
      <c r="I34" s="73">
        <f t="shared" ref="I34:I40" si="7">H34*E34</f>
        <v>0</v>
      </c>
      <c r="J34" s="74">
        <f t="shared" si="6"/>
        <v>0</v>
      </c>
    </row>
    <row r="35" spans="1:10" ht="27.6" x14ac:dyDescent="0.25">
      <c r="A35" s="359" t="s">
        <v>52</v>
      </c>
      <c r="B35" s="360" t="s">
        <v>382</v>
      </c>
      <c r="C35" s="359" t="s">
        <v>385</v>
      </c>
      <c r="D35" s="360" t="s">
        <v>386</v>
      </c>
      <c r="E35" s="361"/>
      <c r="F35" s="336" t="s">
        <v>347</v>
      </c>
      <c r="G35" s="30" t="s">
        <v>360</v>
      </c>
      <c r="H35" s="358">
        <v>3.5</v>
      </c>
      <c r="I35" s="73">
        <f>H35*E35</f>
        <v>0</v>
      </c>
      <c r="J35" s="74">
        <f t="shared" si="6"/>
        <v>0</v>
      </c>
    </row>
    <row r="36" spans="1:10" ht="27.6" x14ac:dyDescent="0.25">
      <c r="A36" s="359" t="s">
        <v>52</v>
      </c>
      <c r="B36" s="360" t="s">
        <v>324</v>
      </c>
      <c r="C36" s="359" t="s">
        <v>442</v>
      </c>
      <c r="D36" s="360" t="s">
        <v>443</v>
      </c>
      <c r="E36" s="361"/>
      <c r="F36" s="336" t="s">
        <v>347</v>
      </c>
      <c r="G36" s="30" t="s">
        <v>360</v>
      </c>
      <c r="H36" s="358">
        <v>3.5</v>
      </c>
      <c r="I36" s="73">
        <f>H36*E36</f>
        <v>0</v>
      </c>
      <c r="J36" s="74">
        <f t="shared" si="6"/>
        <v>0</v>
      </c>
    </row>
    <row r="37" spans="1:10" ht="13.8" x14ac:dyDescent="0.25">
      <c r="A37" s="359" t="s">
        <v>52</v>
      </c>
      <c r="B37" s="360" t="s">
        <v>382</v>
      </c>
      <c r="C37" s="359" t="s">
        <v>512</v>
      </c>
      <c r="D37" s="360" t="s">
        <v>513</v>
      </c>
      <c r="E37" s="361"/>
      <c r="F37" s="336" t="s">
        <v>347</v>
      </c>
      <c r="G37" s="30" t="s">
        <v>360</v>
      </c>
      <c r="H37" s="358">
        <v>5.5</v>
      </c>
      <c r="I37" s="73">
        <f t="shared" si="7"/>
        <v>0</v>
      </c>
      <c r="J37" s="74">
        <f t="shared" si="6"/>
        <v>0</v>
      </c>
    </row>
    <row r="38" spans="1:10" ht="13.8" x14ac:dyDescent="0.25">
      <c r="A38" s="359" t="s">
        <v>378</v>
      </c>
      <c r="B38" s="356" t="s">
        <v>382</v>
      </c>
      <c r="C38" s="355" t="s">
        <v>387</v>
      </c>
      <c r="D38" s="356" t="s">
        <v>388</v>
      </c>
      <c r="E38" s="357"/>
      <c r="F38" s="336" t="s">
        <v>347</v>
      </c>
      <c r="G38" s="30" t="s">
        <v>360</v>
      </c>
      <c r="H38" s="358">
        <v>10.32</v>
      </c>
      <c r="I38" s="73">
        <f t="shared" si="7"/>
        <v>0</v>
      </c>
      <c r="J38" s="74">
        <f t="shared" ref="J38:J41" si="8">IF(I38=0,0,I38/I$1)</f>
        <v>0</v>
      </c>
    </row>
    <row r="39" spans="1:10" ht="13.8" x14ac:dyDescent="0.25">
      <c r="A39" s="359" t="s">
        <v>378</v>
      </c>
      <c r="B39" s="291" t="s">
        <v>382</v>
      </c>
      <c r="C39" s="291" t="s">
        <v>389</v>
      </c>
      <c r="D39" s="291" t="s">
        <v>390</v>
      </c>
      <c r="E39" s="363"/>
      <c r="F39" s="336" t="s">
        <v>347</v>
      </c>
      <c r="G39" s="30" t="s">
        <v>360</v>
      </c>
      <c r="H39" s="358">
        <v>40.869999999999997</v>
      </c>
      <c r="I39" s="73">
        <f t="shared" si="7"/>
        <v>0</v>
      </c>
      <c r="J39" s="74">
        <f t="shared" si="8"/>
        <v>0</v>
      </c>
    </row>
    <row r="40" spans="1:10" ht="13.8" x14ac:dyDescent="0.25">
      <c r="A40" s="359" t="s">
        <v>378</v>
      </c>
      <c r="B40" s="360" t="s">
        <v>354</v>
      </c>
      <c r="C40" s="359" t="s">
        <v>391</v>
      </c>
      <c r="D40" s="360" t="s">
        <v>392</v>
      </c>
      <c r="E40" s="361"/>
      <c r="F40" s="336" t="s">
        <v>354</v>
      </c>
      <c r="G40" s="30" t="s">
        <v>360</v>
      </c>
      <c r="H40" s="358">
        <v>1495</v>
      </c>
      <c r="I40" s="73">
        <f t="shared" si="7"/>
        <v>0</v>
      </c>
      <c r="J40" s="74">
        <f t="shared" si="8"/>
        <v>0</v>
      </c>
    </row>
    <row r="41" spans="1:10" ht="13.8" x14ac:dyDescent="0.25">
      <c r="A41" s="359" t="s">
        <v>378</v>
      </c>
      <c r="B41" s="360"/>
      <c r="C41" s="359" t="s">
        <v>393</v>
      </c>
      <c r="D41" s="360" t="s">
        <v>394</v>
      </c>
      <c r="E41" s="361"/>
      <c r="F41" s="336" t="s">
        <v>347</v>
      </c>
      <c r="G41" s="30" t="s">
        <v>360</v>
      </c>
      <c r="H41" s="358">
        <v>60.99</v>
      </c>
      <c r="I41" s="73">
        <f t="shared" ref="I41:I52" si="9">H41*E41</f>
        <v>0</v>
      </c>
      <c r="J41" s="74">
        <f t="shared" si="8"/>
        <v>0</v>
      </c>
    </row>
    <row r="42" spans="1:10" ht="13.8" x14ac:dyDescent="0.25">
      <c r="A42" s="359" t="s">
        <v>378</v>
      </c>
      <c r="B42" s="360" t="s">
        <v>382</v>
      </c>
      <c r="C42" s="359" t="s">
        <v>395</v>
      </c>
      <c r="D42" s="360" t="s">
        <v>396</v>
      </c>
      <c r="E42" s="361"/>
      <c r="F42" s="336" t="s">
        <v>347</v>
      </c>
      <c r="G42" s="30" t="s">
        <v>360</v>
      </c>
      <c r="H42" s="358">
        <v>13.31</v>
      </c>
      <c r="I42" s="73">
        <f t="shared" si="9"/>
        <v>0</v>
      </c>
      <c r="J42" s="74">
        <v>1.3894605724179381E-3</v>
      </c>
    </row>
    <row r="43" spans="1:10" ht="13.8" x14ac:dyDescent="0.25">
      <c r="A43" s="359" t="s">
        <v>378</v>
      </c>
      <c r="B43" s="360" t="s">
        <v>344</v>
      </c>
      <c r="C43" s="359" t="s">
        <v>345</v>
      </c>
      <c r="D43" s="360" t="s">
        <v>397</v>
      </c>
      <c r="E43" s="361"/>
      <c r="F43" s="336" t="s">
        <v>347</v>
      </c>
      <c r="G43" s="30" t="s">
        <v>360</v>
      </c>
      <c r="H43" s="358">
        <v>191</v>
      </c>
      <c r="I43" s="73">
        <f t="shared" si="9"/>
        <v>0</v>
      </c>
      <c r="J43" s="74">
        <v>1.3894605724179381E-3</v>
      </c>
    </row>
    <row r="44" spans="1:10" ht="13.8" x14ac:dyDescent="0.25">
      <c r="A44" s="359" t="s">
        <v>378</v>
      </c>
      <c r="B44" s="360" t="s">
        <v>344</v>
      </c>
      <c r="C44" s="359" t="s">
        <v>346</v>
      </c>
      <c r="D44" s="360" t="s">
        <v>398</v>
      </c>
      <c r="E44" s="361"/>
      <c r="F44" s="336" t="s">
        <v>347</v>
      </c>
      <c r="G44" s="30" t="s">
        <v>360</v>
      </c>
      <c r="H44" s="358">
        <v>31.2</v>
      </c>
      <c r="I44" s="73">
        <f t="shared" si="9"/>
        <v>0</v>
      </c>
      <c r="J44" s="74">
        <f t="shared" ref="J44:J52" si="10">IF(I44=0,0,I44/I$1)</f>
        <v>0</v>
      </c>
    </row>
    <row r="45" spans="1:10" ht="14.1" customHeight="1" x14ac:dyDescent="0.25">
      <c r="A45" s="291" t="s">
        <v>348</v>
      </c>
      <c r="B45" s="291" t="s">
        <v>349</v>
      </c>
      <c r="C45" s="291" t="s">
        <v>350</v>
      </c>
      <c r="D45" s="291" t="s">
        <v>399</v>
      </c>
      <c r="E45" s="363"/>
      <c r="F45" s="336" t="s">
        <v>347</v>
      </c>
      <c r="G45" s="30" t="s">
        <v>360</v>
      </c>
      <c r="H45" s="358">
        <v>93</v>
      </c>
      <c r="I45" s="75">
        <f t="shared" si="9"/>
        <v>0</v>
      </c>
      <c r="J45" s="76">
        <f t="shared" si="10"/>
        <v>0</v>
      </c>
    </row>
    <row r="46" spans="1:10" ht="14.1" customHeight="1" x14ac:dyDescent="0.25">
      <c r="A46" s="291" t="s">
        <v>348</v>
      </c>
      <c r="B46" s="291" t="s">
        <v>349</v>
      </c>
      <c r="C46" s="291" t="s">
        <v>400</v>
      </c>
      <c r="D46" s="291" t="s">
        <v>401</v>
      </c>
      <c r="E46" s="363"/>
      <c r="F46" s="336" t="s">
        <v>347</v>
      </c>
      <c r="G46" s="30" t="s">
        <v>360</v>
      </c>
      <c r="H46" s="358">
        <v>95</v>
      </c>
      <c r="I46" s="75">
        <f t="shared" si="9"/>
        <v>0</v>
      </c>
      <c r="J46" s="76">
        <f t="shared" si="10"/>
        <v>0</v>
      </c>
    </row>
    <row r="47" spans="1:10" ht="14.1" customHeight="1" x14ac:dyDescent="0.25">
      <c r="A47" s="291" t="s">
        <v>348</v>
      </c>
      <c r="B47" s="291" t="s">
        <v>349</v>
      </c>
      <c r="C47" s="291" t="s">
        <v>402</v>
      </c>
      <c r="D47" s="291" t="s">
        <v>403</v>
      </c>
      <c r="E47" s="363"/>
      <c r="F47" s="336" t="s">
        <v>347</v>
      </c>
      <c r="G47" s="30" t="s">
        <v>360</v>
      </c>
      <c r="H47" s="358">
        <v>14.5</v>
      </c>
      <c r="I47" s="75">
        <f t="shared" si="9"/>
        <v>0</v>
      </c>
      <c r="J47" s="76">
        <f t="shared" si="10"/>
        <v>0</v>
      </c>
    </row>
    <row r="48" spans="1:10" ht="14.1" customHeight="1" x14ac:dyDescent="0.25">
      <c r="A48" s="291" t="s">
        <v>348</v>
      </c>
      <c r="B48" s="291" t="s">
        <v>349</v>
      </c>
      <c r="C48" s="291" t="s">
        <v>404</v>
      </c>
      <c r="D48" s="291" t="s">
        <v>405</v>
      </c>
      <c r="E48" s="363"/>
      <c r="F48" s="336" t="s">
        <v>347</v>
      </c>
      <c r="G48" s="30" t="s">
        <v>360</v>
      </c>
      <c r="H48" s="358">
        <v>110</v>
      </c>
      <c r="I48" s="75">
        <f t="shared" si="9"/>
        <v>0</v>
      </c>
      <c r="J48" s="76">
        <f t="shared" si="10"/>
        <v>0</v>
      </c>
    </row>
    <row r="49" spans="1:10" ht="14.1" customHeight="1" x14ac:dyDescent="0.25">
      <c r="A49" s="291" t="s">
        <v>348</v>
      </c>
      <c r="B49" s="291" t="s">
        <v>406</v>
      </c>
      <c r="C49" s="291" t="s">
        <v>407</v>
      </c>
      <c r="D49" s="291" t="s">
        <v>408</v>
      </c>
      <c r="E49" s="363"/>
      <c r="F49" s="336" t="s">
        <v>347</v>
      </c>
      <c r="G49" s="30" t="s">
        <v>360</v>
      </c>
      <c r="H49" s="358">
        <v>25</v>
      </c>
      <c r="I49" s="75">
        <f t="shared" si="9"/>
        <v>0</v>
      </c>
      <c r="J49" s="76">
        <f t="shared" si="10"/>
        <v>0</v>
      </c>
    </row>
    <row r="50" spans="1:10" ht="14.1" customHeight="1" x14ac:dyDescent="0.25">
      <c r="A50" s="291" t="s">
        <v>348</v>
      </c>
      <c r="B50" s="291" t="s">
        <v>349</v>
      </c>
      <c r="C50" s="291" t="s">
        <v>409</v>
      </c>
      <c r="D50" s="291" t="s">
        <v>410</v>
      </c>
      <c r="E50" s="363"/>
      <c r="F50" s="336" t="s">
        <v>347</v>
      </c>
      <c r="G50" s="30" t="s">
        <v>360</v>
      </c>
      <c r="H50" s="358">
        <v>135</v>
      </c>
      <c r="I50" s="75">
        <f t="shared" si="9"/>
        <v>0</v>
      </c>
      <c r="J50" s="76">
        <f t="shared" si="10"/>
        <v>0</v>
      </c>
    </row>
    <row r="51" spans="1:10" ht="14.1" customHeight="1" x14ac:dyDescent="0.25">
      <c r="A51" s="291" t="s">
        <v>348</v>
      </c>
      <c r="B51" s="291" t="s">
        <v>349</v>
      </c>
      <c r="C51" s="291" t="s">
        <v>411</v>
      </c>
      <c r="D51" s="291" t="s">
        <v>412</v>
      </c>
      <c r="E51" s="363"/>
      <c r="F51" s="336" t="s">
        <v>347</v>
      </c>
      <c r="G51" s="30" t="s">
        <v>360</v>
      </c>
      <c r="H51" s="358">
        <v>278</v>
      </c>
      <c r="I51" s="75">
        <f t="shared" si="9"/>
        <v>0</v>
      </c>
      <c r="J51" s="76">
        <f t="shared" si="10"/>
        <v>0</v>
      </c>
    </row>
    <row r="52" spans="1:10" ht="14.1" customHeight="1" x14ac:dyDescent="0.25">
      <c r="A52" s="291" t="s">
        <v>348</v>
      </c>
      <c r="B52" s="291" t="s">
        <v>349</v>
      </c>
      <c r="C52" s="291" t="s">
        <v>351</v>
      </c>
      <c r="D52" s="293" t="s">
        <v>413</v>
      </c>
      <c r="E52" s="30"/>
      <c r="F52" s="336" t="s">
        <v>347</v>
      </c>
      <c r="G52" s="30" t="s">
        <v>360</v>
      </c>
      <c r="H52" s="343">
        <v>63</v>
      </c>
      <c r="I52" s="75">
        <f t="shared" si="9"/>
        <v>0</v>
      </c>
      <c r="J52" s="76">
        <f t="shared" si="10"/>
        <v>0</v>
      </c>
    </row>
    <row r="53" spans="1:10" ht="13.8" x14ac:dyDescent="0.25">
      <c r="A53" s="291" t="s">
        <v>463</v>
      </c>
      <c r="B53" s="291" t="s">
        <v>466</v>
      </c>
      <c r="C53" s="291" t="s">
        <v>464</v>
      </c>
      <c r="D53" s="291" t="s">
        <v>465</v>
      </c>
      <c r="E53" s="30"/>
      <c r="F53" s="336" t="s">
        <v>488</v>
      </c>
      <c r="G53" s="30" t="s">
        <v>360</v>
      </c>
      <c r="H53" s="365">
        <v>2069.08</v>
      </c>
      <c r="I53" s="73">
        <f t="shared" ref="I53:I61" si="11">H53*E53</f>
        <v>0</v>
      </c>
      <c r="J53" s="74">
        <f t="shared" ref="J53:J61" si="12">IF(I53=0,0,I53/I$1)</f>
        <v>0</v>
      </c>
    </row>
    <row r="54" spans="1:10" ht="13.8" x14ac:dyDescent="0.25">
      <c r="A54" s="291" t="s">
        <v>463</v>
      </c>
      <c r="B54" s="291" t="s">
        <v>466</v>
      </c>
      <c r="C54" s="291" t="s">
        <v>467</v>
      </c>
      <c r="D54" s="291" t="s">
        <v>468</v>
      </c>
      <c r="E54" s="30"/>
      <c r="F54" s="336" t="s">
        <v>488</v>
      </c>
      <c r="G54" s="30" t="s">
        <v>360</v>
      </c>
      <c r="H54" s="365">
        <v>122</v>
      </c>
      <c r="I54" s="73">
        <f t="shared" si="11"/>
        <v>0</v>
      </c>
      <c r="J54" s="74">
        <f t="shared" si="12"/>
        <v>0</v>
      </c>
    </row>
    <row r="55" spans="1:10" ht="27.6" x14ac:dyDescent="0.25">
      <c r="A55" s="291" t="s">
        <v>370</v>
      </c>
      <c r="B55" s="291" t="s">
        <v>466</v>
      </c>
      <c r="C55" s="291" t="s">
        <v>469</v>
      </c>
      <c r="D55" s="291" t="s">
        <v>470</v>
      </c>
      <c r="E55" s="30"/>
      <c r="F55" s="336" t="s">
        <v>488</v>
      </c>
      <c r="G55" s="30" t="s">
        <v>360</v>
      </c>
      <c r="H55" s="365">
        <v>482.04</v>
      </c>
      <c r="I55" s="73">
        <f t="shared" si="11"/>
        <v>0</v>
      </c>
      <c r="J55" s="74">
        <f t="shared" si="12"/>
        <v>0</v>
      </c>
    </row>
    <row r="56" spans="1:10" ht="13.8" x14ac:dyDescent="0.25">
      <c r="A56" s="291" t="s">
        <v>463</v>
      </c>
      <c r="B56" s="291" t="s">
        <v>466</v>
      </c>
      <c r="C56" s="291" t="s">
        <v>471</v>
      </c>
      <c r="D56" s="291" t="s">
        <v>472</v>
      </c>
      <c r="E56" s="30"/>
      <c r="F56" s="336" t="s">
        <v>488</v>
      </c>
      <c r="G56" s="30" t="s">
        <v>360</v>
      </c>
      <c r="H56" s="365">
        <v>1190.28</v>
      </c>
      <c r="I56" s="73">
        <f t="shared" si="11"/>
        <v>0</v>
      </c>
      <c r="J56" s="74">
        <f t="shared" si="12"/>
        <v>0</v>
      </c>
    </row>
    <row r="57" spans="1:10" ht="13.8" x14ac:dyDescent="0.25">
      <c r="A57" s="291" t="s">
        <v>463</v>
      </c>
      <c r="B57" s="291" t="s">
        <v>466</v>
      </c>
      <c r="C57" s="291" t="s">
        <v>473</v>
      </c>
      <c r="D57" s="291" t="s">
        <v>474</v>
      </c>
      <c r="E57" s="30"/>
      <c r="F57" s="336" t="s">
        <v>488</v>
      </c>
      <c r="G57" s="30" t="s">
        <v>360</v>
      </c>
      <c r="H57" s="365">
        <v>1457</v>
      </c>
      <c r="I57" s="73">
        <f t="shared" si="11"/>
        <v>0</v>
      </c>
      <c r="J57" s="74">
        <f t="shared" si="12"/>
        <v>0</v>
      </c>
    </row>
    <row r="58" spans="1:10" ht="13.8" x14ac:dyDescent="0.25">
      <c r="A58" s="291" t="s">
        <v>463</v>
      </c>
      <c r="B58" s="291" t="s">
        <v>466</v>
      </c>
      <c r="C58" s="291" t="s">
        <v>475</v>
      </c>
      <c r="D58" s="291" t="s">
        <v>476</v>
      </c>
      <c r="E58" s="30"/>
      <c r="F58" s="336" t="s">
        <v>488</v>
      </c>
      <c r="G58" s="30" t="s">
        <v>360</v>
      </c>
      <c r="H58" s="365">
        <v>2267.1999999999998</v>
      </c>
      <c r="I58" s="73">
        <f t="shared" si="11"/>
        <v>0</v>
      </c>
      <c r="J58" s="74">
        <f t="shared" si="12"/>
        <v>0</v>
      </c>
    </row>
    <row r="59" spans="1:10" ht="13.8" x14ac:dyDescent="0.25">
      <c r="A59" s="291" t="s">
        <v>463</v>
      </c>
      <c r="B59" s="291" t="s">
        <v>466</v>
      </c>
      <c r="C59" s="291" t="s">
        <v>477</v>
      </c>
      <c r="D59" s="291" t="s">
        <v>478</v>
      </c>
      <c r="E59" s="30"/>
      <c r="F59" s="336" t="s">
        <v>488</v>
      </c>
      <c r="G59" s="30" t="s">
        <v>360</v>
      </c>
      <c r="H59" s="365">
        <v>2244.84</v>
      </c>
      <c r="I59" s="73">
        <f t="shared" si="11"/>
        <v>0</v>
      </c>
      <c r="J59" s="74">
        <f t="shared" si="12"/>
        <v>0</v>
      </c>
    </row>
    <row r="60" spans="1:10" ht="27.6" x14ac:dyDescent="0.25">
      <c r="A60" s="291" t="s">
        <v>463</v>
      </c>
      <c r="B60" s="291" t="s">
        <v>466</v>
      </c>
      <c r="C60" s="291" t="s">
        <v>479</v>
      </c>
      <c r="D60" s="291" t="s">
        <v>480</v>
      </c>
      <c r="E60" s="30"/>
      <c r="F60" s="336" t="s">
        <v>488</v>
      </c>
      <c r="G60" s="30" t="s">
        <v>360</v>
      </c>
      <c r="H60" s="365">
        <v>1632.8</v>
      </c>
      <c r="I60" s="73">
        <f t="shared" si="11"/>
        <v>0</v>
      </c>
      <c r="J60" s="74">
        <f t="shared" si="12"/>
        <v>0</v>
      </c>
    </row>
    <row r="61" spans="1:10" ht="13.8" x14ac:dyDescent="0.25">
      <c r="A61" s="291" t="s">
        <v>463</v>
      </c>
      <c r="B61" s="291" t="s">
        <v>466</v>
      </c>
      <c r="C61" s="291" t="s">
        <v>481</v>
      </c>
      <c r="D61" s="291" t="s">
        <v>482</v>
      </c>
      <c r="E61" s="30"/>
      <c r="F61" s="336" t="s">
        <v>488</v>
      </c>
      <c r="G61" s="30" t="s">
        <v>360</v>
      </c>
      <c r="H61" s="365">
        <v>1632.8</v>
      </c>
      <c r="I61" s="73">
        <f t="shared" si="11"/>
        <v>0</v>
      </c>
      <c r="J61" s="74">
        <f t="shared" si="12"/>
        <v>0</v>
      </c>
    </row>
    <row r="62" spans="1:10" ht="13.8" x14ac:dyDescent="0.25">
      <c r="A62" s="291" t="s">
        <v>463</v>
      </c>
      <c r="B62" s="291" t="s">
        <v>466</v>
      </c>
      <c r="C62" s="291" t="s">
        <v>483</v>
      </c>
      <c r="D62" s="291" t="s">
        <v>484</v>
      </c>
      <c r="E62" s="30"/>
      <c r="F62" s="336" t="s">
        <v>488</v>
      </c>
      <c r="G62" s="30" t="s">
        <v>360</v>
      </c>
      <c r="H62" s="365">
        <v>201.24</v>
      </c>
      <c r="I62" s="73">
        <f t="shared" ref="I62:I86" si="13">H62*E62</f>
        <v>0</v>
      </c>
      <c r="J62" s="74">
        <f t="shared" ref="J62:J78" si="14">IF(I62=0,0,I62/I$1)</f>
        <v>0</v>
      </c>
    </row>
    <row r="63" spans="1:10" ht="13.8" x14ac:dyDescent="0.25">
      <c r="A63" s="291" t="s">
        <v>485</v>
      </c>
      <c r="B63" s="291" t="s">
        <v>466</v>
      </c>
      <c r="C63" s="291" t="s">
        <v>486</v>
      </c>
      <c r="D63" s="291" t="s">
        <v>487</v>
      </c>
      <c r="E63" s="30"/>
      <c r="F63" s="336" t="s">
        <v>488</v>
      </c>
      <c r="G63" s="30" t="s">
        <v>360</v>
      </c>
      <c r="H63" s="365">
        <v>2030</v>
      </c>
      <c r="I63" s="73">
        <f t="shared" si="13"/>
        <v>0</v>
      </c>
      <c r="J63" s="74">
        <f t="shared" si="14"/>
        <v>0</v>
      </c>
    </row>
    <row r="64" spans="1:10" ht="13.8" x14ac:dyDescent="0.25">
      <c r="A64" s="291" t="s">
        <v>327</v>
      </c>
      <c r="B64" s="291"/>
      <c r="C64" s="291" t="s">
        <v>521</v>
      </c>
      <c r="D64" s="291" t="s">
        <v>522</v>
      </c>
      <c r="E64" s="30"/>
      <c r="F64" s="336" t="s">
        <v>523</v>
      </c>
      <c r="G64" s="30" t="s">
        <v>360</v>
      </c>
      <c r="H64" s="343">
        <v>326</v>
      </c>
      <c r="I64" s="73">
        <f t="shared" si="13"/>
        <v>0</v>
      </c>
      <c r="J64" s="74">
        <f t="shared" si="14"/>
        <v>0</v>
      </c>
    </row>
    <row r="65" spans="1:10" ht="13.8" x14ac:dyDescent="0.25">
      <c r="A65" s="291" t="s">
        <v>327</v>
      </c>
      <c r="B65" s="291" t="s">
        <v>328</v>
      </c>
      <c r="C65" s="291"/>
      <c r="D65" s="291" t="s">
        <v>329</v>
      </c>
      <c r="E65" s="30"/>
      <c r="F65" s="336" t="s">
        <v>328</v>
      </c>
      <c r="G65" s="30" t="s">
        <v>167</v>
      </c>
      <c r="H65" s="343">
        <v>1</v>
      </c>
      <c r="I65" s="73">
        <f t="shared" si="13"/>
        <v>0</v>
      </c>
      <c r="J65" s="74">
        <f t="shared" si="14"/>
        <v>0</v>
      </c>
    </row>
    <row r="66" spans="1:10" ht="13.8" x14ac:dyDescent="0.25">
      <c r="A66" s="291" t="s">
        <v>327</v>
      </c>
      <c r="B66" s="291" t="s">
        <v>328</v>
      </c>
      <c r="C66" s="291"/>
      <c r="D66" s="291" t="s">
        <v>330</v>
      </c>
      <c r="E66" s="30"/>
      <c r="F66" s="336" t="s">
        <v>328</v>
      </c>
      <c r="G66" s="30" t="s">
        <v>167</v>
      </c>
      <c r="H66" s="343">
        <v>1</v>
      </c>
      <c r="I66" s="73">
        <f t="shared" si="13"/>
        <v>0</v>
      </c>
      <c r="J66" s="74">
        <f t="shared" si="14"/>
        <v>0</v>
      </c>
    </row>
    <row r="67" spans="1:10" ht="13.8" x14ac:dyDescent="0.25">
      <c r="A67" s="291" t="s">
        <v>327</v>
      </c>
      <c r="B67" s="291" t="s">
        <v>328</v>
      </c>
      <c r="C67" s="291"/>
      <c r="D67" s="291" t="s">
        <v>331</v>
      </c>
      <c r="E67" s="30"/>
      <c r="F67" s="336" t="s">
        <v>328</v>
      </c>
      <c r="G67" s="30" t="s">
        <v>167</v>
      </c>
      <c r="H67" s="343">
        <v>1</v>
      </c>
      <c r="I67" s="73">
        <f t="shared" si="13"/>
        <v>0</v>
      </c>
      <c r="J67" s="74">
        <f t="shared" si="14"/>
        <v>0</v>
      </c>
    </row>
    <row r="68" spans="1:10" ht="13.8" x14ac:dyDescent="0.25">
      <c r="A68" s="291" t="s">
        <v>327</v>
      </c>
      <c r="B68" s="291" t="s">
        <v>328</v>
      </c>
      <c r="C68" s="291"/>
      <c r="D68" s="439" t="s">
        <v>332</v>
      </c>
      <c r="E68" s="30"/>
      <c r="F68" s="336" t="s">
        <v>328</v>
      </c>
      <c r="G68" s="30" t="s">
        <v>167</v>
      </c>
      <c r="H68" s="343">
        <v>1</v>
      </c>
      <c r="I68" s="73">
        <f t="shared" si="13"/>
        <v>0</v>
      </c>
      <c r="J68" s="74">
        <f t="shared" si="14"/>
        <v>0</v>
      </c>
    </row>
    <row r="69" spans="1:10" ht="13.8" x14ac:dyDescent="0.25">
      <c r="A69" s="291" t="s">
        <v>325</v>
      </c>
      <c r="B69" s="291"/>
      <c r="C69" s="291"/>
      <c r="D69" s="292" t="s">
        <v>333</v>
      </c>
      <c r="E69" s="30"/>
      <c r="F69" s="336" t="s">
        <v>328</v>
      </c>
      <c r="G69" s="30" t="s">
        <v>167</v>
      </c>
      <c r="H69" s="343">
        <v>2</v>
      </c>
      <c r="I69" s="73">
        <f t="shared" si="13"/>
        <v>0</v>
      </c>
      <c r="J69" s="74">
        <f t="shared" si="14"/>
        <v>0</v>
      </c>
    </row>
    <row r="70" spans="1:10" ht="13.8" x14ac:dyDescent="0.25">
      <c r="A70" s="291" t="s">
        <v>325</v>
      </c>
      <c r="B70" s="291"/>
      <c r="C70" s="291"/>
      <c r="D70" s="292" t="s">
        <v>533</v>
      </c>
      <c r="E70" s="30"/>
      <c r="F70" s="336"/>
      <c r="G70" s="30" t="s">
        <v>167</v>
      </c>
      <c r="H70" s="343">
        <v>80</v>
      </c>
      <c r="I70" s="73">
        <f t="shared" si="13"/>
        <v>0</v>
      </c>
      <c r="J70" s="74">
        <f t="shared" si="14"/>
        <v>0</v>
      </c>
    </row>
    <row r="71" spans="1:10" ht="14.4" customHeight="1" x14ac:dyDescent="0.25">
      <c r="A71" s="291" t="s">
        <v>325</v>
      </c>
      <c r="B71" s="291" t="s">
        <v>328</v>
      </c>
      <c r="C71" s="291"/>
      <c r="D71" s="292" t="s">
        <v>334</v>
      </c>
      <c r="E71" s="30"/>
      <c r="F71" s="336" t="s">
        <v>328</v>
      </c>
      <c r="G71" s="30" t="s">
        <v>167</v>
      </c>
      <c r="H71" s="343">
        <v>0.25</v>
      </c>
      <c r="I71" s="73">
        <f t="shared" si="13"/>
        <v>0</v>
      </c>
      <c r="J71" s="74">
        <f t="shared" si="14"/>
        <v>0</v>
      </c>
    </row>
    <row r="72" spans="1:10" ht="13.8" x14ac:dyDescent="0.25">
      <c r="A72" s="291" t="s">
        <v>326</v>
      </c>
      <c r="B72" s="291" t="s">
        <v>328</v>
      </c>
      <c r="C72" s="291"/>
      <c r="D72" s="439" t="s">
        <v>335</v>
      </c>
      <c r="E72" s="30"/>
      <c r="F72" s="336" t="s">
        <v>328</v>
      </c>
      <c r="G72" s="30" t="s">
        <v>167</v>
      </c>
      <c r="H72" s="343">
        <v>4</v>
      </c>
      <c r="I72" s="73">
        <f t="shared" si="13"/>
        <v>0</v>
      </c>
      <c r="J72" s="74">
        <f t="shared" si="14"/>
        <v>0</v>
      </c>
    </row>
    <row r="73" spans="1:10" ht="13.8" x14ac:dyDescent="0.25">
      <c r="A73" s="291" t="s">
        <v>326</v>
      </c>
      <c r="B73" s="291" t="s">
        <v>328</v>
      </c>
      <c r="C73" s="291"/>
      <c r="D73" s="293" t="s">
        <v>336</v>
      </c>
      <c r="E73" s="30"/>
      <c r="F73" s="336" t="s">
        <v>328</v>
      </c>
      <c r="G73" s="30" t="s">
        <v>167</v>
      </c>
      <c r="H73" s="343">
        <v>0.2</v>
      </c>
      <c r="I73" s="73">
        <f t="shared" si="13"/>
        <v>0</v>
      </c>
      <c r="J73" s="74">
        <f t="shared" si="14"/>
        <v>0</v>
      </c>
    </row>
    <row r="74" spans="1:10" ht="14.1" customHeight="1" x14ac:dyDescent="0.25">
      <c r="A74" s="291" t="s">
        <v>327</v>
      </c>
      <c r="B74" s="291" t="s">
        <v>328</v>
      </c>
      <c r="C74" s="291"/>
      <c r="D74" s="293" t="s">
        <v>337</v>
      </c>
      <c r="E74" s="30"/>
      <c r="F74" s="336" t="s">
        <v>328</v>
      </c>
      <c r="G74" s="30" t="s">
        <v>167</v>
      </c>
      <c r="H74" s="343">
        <v>1.5</v>
      </c>
      <c r="I74" s="75">
        <f t="shared" si="13"/>
        <v>0</v>
      </c>
      <c r="J74" s="76">
        <f t="shared" si="14"/>
        <v>0</v>
      </c>
    </row>
    <row r="75" spans="1:10" ht="13.8" x14ac:dyDescent="0.25">
      <c r="A75" s="291" t="s">
        <v>327</v>
      </c>
      <c r="B75" s="291" t="s">
        <v>328</v>
      </c>
      <c r="C75" s="291"/>
      <c r="D75" s="439" t="s">
        <v>338</v>
      </c>
      <c r="E75" s="30"/>
      <c r="F75" s="336" t="s">
        <v>328</v>
      </c>
      <c r="G75" s="30" t="s">
        <v>167</v>
      </c>
      <c r="H75" s="343">
        <v>0.5</v>
      </c>
      <c r="I75" s="73">
        <f t="shared" si="13"/>
        <v>0</v>
      </c>
      <c r="J75" s="74">
        <f t="shared" si="14"/>
        <v>0</v>
      </c>
    </row>
    <row r="76" spans="1:10" ht="13.8" customHeight="1" x14ac:dyDescent="0.25">
      <c r="A76" s="291" t="s">
        <v>327</v>
      </c>
      <c r="B76" s="291" t="s">
        <v>328</v>
      </c>
      <c r="C76" s="291"/>
      <c r="D76" s="293" t="s">
        <v>339</v>
      </c>
      <c r="E76" s="30"/>
      <c r="F76" s="336" t="s">
        <v>328</v>
      </c>
      <c r="G76" s="30" t="s">
        <v>167</v>
      </c>
      <c r="H76" s="343">
        <v>0.5</v>
      </c>
      <c r="I76" s="73">
        <f t="shared" si="13"/>
        <v>0</v>
      </c>
      <c r="J76" s="74">
        <f t="shared" si="14"/>
        <v>0</v>
      </c>
    </row>
    <row r="77" spans="1:10" ht="14.1" customHeight="1" x14ac:dyDescent="0.25">
      <c r="A77" s="291" t="s">
        <v>327</v>
      </c>
      <c r="B77" s="291" t="s">
        <v>328</v>
      </c>
      <c r="C77" s="291"/>
      <c r="D77" s="293" t="s">
        <v>340</v>
      </c>
      <c r="E77" s="30"/>
      <c r="F77" s="336" t="s">
        <v>328</v>
      </c>
      <c r="G77" s="30" t="s">
        <v>167</v>
      </c>
      <c r="H77" s="343">
        <v>0.5</v>
      </c>
      <c r="I77" s="73">
        <f t="shared" si="13"/>
        <v>0</v>
      </c>
      <c r="J77" s="76">
        <f t="shared" si="14"/>
        <v>0</v>
      </c>
    </row>
    <row r="78" spans="1:10" ht="14.1" customHeight="1" x14ac:dyDescent="0.25">
      <c r="A78" s="291" t="s">
        <v>327</v>
      </c>
      <c r="B78" s="291" t="s">
        <v>328</v>
      </c>
      <c r="C78" s="291"/>
      <c r="D78" s="293" t="s">
        <v>341</v>
      </c>
      <c r="E78" s="30"/>
      <c r="F78" s="336" t="s">
        <v>328</v>
      </c>
      <c r="G78" s="30" t="s">
        <v>167</v>
      </c>
      <c r="H78" s="343">
        <v>3.5</v>
      </c>
      <c r="I78" s="75">
        <f t="shared" si="13"/>
        <v>0</v>
      </c>
      <c r="J78" s="76">
        <f t="shared" si="14"/>
        <v>0</v>
      </c>
    </row>
    <row r="79" spans="1:10" ht="14.1" customHeight="1" x14ac:dyDescent="0.25">
      <c r="A79" s="291" t="s">
        <v>327</v>
      </c>
      <c r="B79" s="291" t="s">
        <v>324</v>
      </c>
      <c r="C79" s="291" t="s">
        <v>342</v>
      </c>
      <c r="D79" s="293" t="s">
        <v>343</v>
      </c>
      <c r="E79" s="30"/>
      <c r="F79" s="336" t="s">
        <v>328</v>
      </c>
      <c r="G79" s="30" t="s">
        <v>167</v>
      </c>
      <c r="H79" s="343">
        <v>2.5</v>
      </c>
      <c r="I79" s="75">
        <f t="shared" si="13"/>
        <v>0</v>
      </c>
      <c r="J79" s="76">
        <f t="shared" ref="J79:J86" si="15">IF(I79=0,0,I79/I$1)</f>
        <v>0</v>
      </c>
    </row>
    <row r="80" spans="1:10" ht="14.1" customHeight="1" x14ac:dyDescent="0.25">
      <c r="A80" s="291" t="s">
        <v>535</v>
      </c>
      <c r="B80" s="291"/>
      <c r="C80" s="291"/>
      <c r="D80" s="293" t="s">
        <v>534</v>
      </c>
      <c r="E80" s="30"/>
      <c r="F80" s="336"/>
      <c r="G80" s="30" t="s">
        <v>167</v>
      </c>
      <c r="H80" s="343">
        <v>110</v>
      </c>
      <c r="I80" s="75">
        <f t="shared" si="13"/>
        <v>0</v>
      </c>
      <c r="J80" s="76">
        <f t="shared" si="15"/>
        <v>0</v>
      </c>
    </row>
    <row r="81" spans="1:10" ht="14.1" customHeight="1" x14ac:dyDescent="0.25">
      <c r="A81" s="291" t="s">
        <v>535</v>
      </c>
      <c r="B81" s="291"/>
      <c r="C81" s="291"/>
      <c r="D81" s="293" t="s">
        <v>536</v>
      </c>
      <c r="E81" s="30"/>
      <c r="F81" s="336"/>
      <c r="G81" s="30" t="s">
        <v>167</v>
      </c>
      <c r="H81" s="343">
        <v>10</v>
      </c>
      <c r="I81" s="75">
        <f t="shared" si="13"/>
        <v>0</v>
      </c>
      <c r="J81" s="76">
        <f t="shared" si="15"/>
        <v>0</v>
      </c>
    </row>
    <row r="82" spans="1:10" ht="14.1" customHeight="1" x14ac:dyDescent="0.25">
      <c r="A82" s="291" t="s">
        <v>527</v>
      </c>
      <c r="B82" s="291"/>
      <c r="C82" s="291"/>
      <c r="D82" s="293" t="s">
        <v>537</v>
      </c>
      <c r="E82" s="30"/>
      <c r="F82" s="336"/>
      <c r="G82" s="30" t="s">
        <v>167</v>
      </c>
      <c r="H82" s="343">
        <v>60</v>
      </c>
      <c r="I82" s="75">
        <f t="shared" si="13"/>
        <v>0</v>
      </c>
      <c r="J82" s="76">
        <f t="shared" si="15"/>
        <v>0</v>
      </c>
    </row>
    <row r="83" spans="1:10" ht="14.1" customHeight="1" x14ac:dyDescent="0.25">
      <c r="A83" s="291" t="s">
        <v>527</v>
      </c>
      <c r="B83" s="291"/>
      <c r="C83" s="291"/>
      <c r="D83" s="293" t="s">
        <v>528</v>
      </c>
      <c r="E83" s="30"/>
      <c r="F83" s="336"/>
      <c r="G83" s="30" t="s">
        <v>167</v>
      </c>
      <c r="H83" s="343">
        <v>25</v>
      </c>
      <c r="I83" s="75">
        <f t="shared" si="13"/>
        <v>0</v>
      </c>
      <c r="J83" s="76">
        <f t="shared" si="15"/>
        <v>0</v>
      </c>
    </row>
    <row r="84" spans="1:10" ht="14.1" customHeight="1" x14ac:dyDescent="0.25">
      <c r="A84" s="291" t="s">
        <v>527</v>
      </c>
      <c r="B84" s="291"/>
      <c r="C84" s="291"/>
      <c r="D84" s="293" t="s">
        <v>529</v>
      </c>
      <c r="E84" s="30"/>
      <c r="F84" s="336"/>
      <c r="G84" s="30" t="s">
        <v>167</v>
      </c>
      <c r="H84" s="343">
        <v>5</v>
      </c>
      <c r="I84" s="75">
        <f t="shared" si="13"/>
        <v>0</v>
      </c>
      <c r="J84" s="76">
        <f t="shared" si="15"/>
        <v>0</v>
      </c>
    </row>
    <row r="85" spans="1:10" ht="14.1" customHeight="1" x14ac:dyDescent="0.25">
      <c r="A85" s="291" t="s">
        <v>527</v>
      </c>
      <c r="B85" s="291"/>
      <c r="C85" s="291"/>
      <c r="D85" s="291" t="s">
        <v>541</v>
      </c>
      <c r="E85" s="30"/>
      <c r="F85" s="336"/>
      <c r="G85" s="30" t="s">
        <v>167</v>
      </c>
      <c r="H85" s="343">
        <v>20</v>
      </c>
      <c r="I85" s="75">
        <f t="shared" si="13"/>
        <v>0</v>
      </c>
      <c r="J85" s="76">
        <f t="shared" si="15"/>
        <v>0</v>
      </c>
    </row>
    <row r="86" spans="1:10" ht="14.1" customHeight="1" thickBot="1" x14ac:dyDescent="0.3">
      <c r="A86" s="291" t="s">
        <v>527</v>
      </c>
      <c r="B86" s="291"/>
      <c r="C86" s="291"/>
      <c r="D86" s="293" t="s">
        <v>530</v>
      </c>
      <c r="E86" s="30"/>
      <c r="F86" s="336"/>
      <c r="G86" s="30" t="s">
        <v>167</v>
      </c>
      <c r="H86" s="343">
        <v>10</v>
      </c>
      <c r="I86" s="75">
        <f t="shared" si="13"/>
        <v>0</v>
      </c>
      <c r="J86" s="76">
        <f t="shared" si="15"/>
        <v>0</v>
      </c>
    </row>
    <row r="87" spans="1:10" ht="13.8" thickBot="1" x14ac:dyDescent="0.3">
      <c r="A87" s="27" t="s">
        <v>327</v>
      </c>
      <c r="B87" s="27"/>
      <c r="C87" s="27"/>
      <c r="D87" s="27"/>
      <c r="E87" s="27"/>
      <c r="F87" s="337"/>
      <c r="G87" s="347" t="s">
        <v>167</v>
      </c>
      <c r="H87" s="344" t="s">
        <v>168</v>
      </c>
      <c r="I87" s="77">
        <f>SUMIF(G$3:G$86,G87,I$3:I$86)</f>
        <v>0</v>
      </c>
      <c r="J87" s="78">
        <f t="shared" ref="J87:J92" si="16">IF(I87=0,0,I87/I$1)</f>
        <v>0</v>
      </c>
    </row>
    <row r="88" spans="1:10" ht="13.8" thickBot="1" x14ac:dyDescent="0.3">
      <c r="A88" s="27"/>
      <c r="B88" s="27"/>
      <c r="C88" s="27"/>
      <c r="D88" s="27"/>
      <c r="E88" s="27"/>
      <c r="F88" s="337"/>
      <c r="G88" s="347" t="s">
        <v>360</v>
      </c>
      <c r="H88" s="344" t="s">
        <v>168</v>
      </c>
      <c r="I88" s="77">
        <f>SUMIF(G$3:G$86,G88,I$3:I$86)</f>
        <v>0</v>
      </c>
      <c r="J88" s="78">
        <f t="shared" si="16"/>
        <v>0</v>
      </c>
    </row>
    <row r="89" spans="1:10" ht="13.8" thickBot="1" x14ac:dyDescent="0.3">
      <c r="A89" s="27"/>
      <c r="B89" s="27"/>
      <c r="C89" s="27"/>
      <c r="D89" s="27"/>
      <c r="E89" s="27"/>
      <c r="F89" s="337"/>
      <c r="G89" s="347" t="s">
        <v>359</v>
      </c>
      <c r="H89" s="344" t="s">
        <v>168</v>
      </c>
      <c r="I89" s="77">
        <f>SUMIF(G$3:G$86,G89,I$3:I$86)</f>
        <v>0</v>
      </c>
      <c r="J89" s="78">
        <f t="shared" si="16"/>
        <v>0</v>
      </c>
    </row>
    <row r="90" spans="1:10" ht="13.8" thickBot="1" x14ac:dyDescent="0.3">
      <c r="A90" s="27"/>
      <c r="B90" s="27"/>
      <c r="C90" s="27"/>
      <c r="D90" s="27"/>
      <c r="E90" s="27"/>
      <c r="F90" s="337"/>
      <c r="G90" s="347" t="s">
        <v>302</v>
      </c>
      <c r="H90" s="345">
        <v>0.1</v>
      </c>
      <c r="I90" s="77">
        <f>(SUM(I87:I89)*H90)</f>
        <v>0</v>
      </c>
      <c r="J90" s="78">
        <f t="shared" si="16"/>
        <v>0</v>
      </c>
    </row>
    <row r="91" spans="1:10" ht="13.8" thickBot="1" x14ac:dyDescent="0.3">
      <c r="A91" s="27"/>
      <c r="B91" s="27"/>
      <c r="C91" s="27"/>
      <c r="D91" s="27"/>
      <c r="E91" s="27"/>
      <c r="F91" s="337"/>
      <c r="G91" s="348" t="s">
        <v>5</v>
      </c>
      <c r="H91" s="343"/>
      <c r="I91" s="290">
        <f>H91</f>
        <v>0</v>
      </c>
      <c r="J91" s="78">
        <f t="shared" si="16"/>
        <v>0</v>
      </c>
    </row>
    <row r="92" spans="1:10" ht="13.8" thickBot="1" x14ac:dyDescent="0.3">
      <c r="A92" s="27"/>
      <c r="B92" s="27"/>
      <c r="C92" s="28"/>
      <c r="D92" s="28"/>
      <c r="E92" s="27"/>
      <c r="F92" s="337"/>
      <c r="G92" s="27"/>
      <c r="H92" s="346" t="s">
        <v>164</v>
      </c>
      <c r="I92" s="79">
        <f>SUM(I87:I91)</f>
        <v>0</v>
      </c>
      <c r="J92" s="80">
        <f t="shared" si="16"/>
        <v>0</v>
      </c>
    </row>
    <row r="93" spans="1:10" x14ac:dyDescent="0.25">
      <c r="A93" s="27"/>
      <c r="B93" s="27"/>
      <c r="C93" s="28"/>
      <c r="D93" s="28"/>
      <c r="E93" s="27"/>
      <c r="F93" s="337"/>
      <c r="G93" s="27"/>
      <c r="H93" s="81"/>
      <c r="I93" s="81"/>
      <c r="J93" s="26"/>
    </row>
    <row r="94" spans="1:10" x14ac:dyDescent="0.25">
      <c r="B94"/>
      <c r="C94" s="1"/>
      <c r="D94" s="1"/>
    </row>
    <row r="95" spans="1:10" x14ac:dyDescent="0.25">
      <c r="B95"/>
      <c r="C95" s="1"/>
      <c r="D95" s="1"/>
    </row>
    <row r="96" spans="1:10" x14ac:dyDescent="0.25">
      <c r="B96"/>
      <c r="C96" s="1"/>
      <c r="D96" s="1"/>
    </row>
    <row r="97" spans="2:7" x14ac:dyDescent="0.25">
      <c r="B97"/>
      <c r="C97" s="1"/>
      <c r="D97" s="1"/>
    </row>
    <row r="98" spans="2:7" x14ac:dyDescent="0.25">
      <c r="B98"/>
      <c r="C98" s="1"/>
      <c r="D98" s="1"/>
    </row>
    <row r="99" spans="2:7" x14ac:dyDescent="0.25">
      <c r="B99"/>
      <c r="C99" s="1"/>
      <c r="D99" s="1"/>
    </row>
    <row r="100" spans="2:7" x14ac:dyDescent="0.25">
      <c r="B100"/>
      <c r="C100" s="1"/>
      <c r="D100" s="1"/>
    </row>
    <row r="101" spans="2:7" x14ac:dyDescent="0.25">
      <c r="B101"/>
      <c r="C101" s="1"/>
      <c r="D101" s="1"/>
    </row>
    <row r="102" spans="2:7" x14ac:dyDescent="0.25">
      <c r="B102"/>
      <c r="C102" s="1"/>
      <c r="D102" s="1"/>
    </row>
    <row r="103" spans="2:7" x14ac:dyDescent="0.25">
      <c r="B103"/>
      <c r="C103" s="1"/>
      <c r="D103" s="1"/>
    </row>
    <row r="104" spans="2:7" x14ac:dyDescent="0.25">
      <c r="B104"/>
      <c r="C104" s="1"/>
      <c r="D104" s="1"/>
    </row>
    <row r="105" spans="2:7" x14ac:dyDescent="0.25">
      <c r="B105"/>
      <c r="C105" s="1"/>
      <c r="D105" s="1"/>
    </row>
    <row r="106" spans="2:7" x14ac:dyDescent="0.25">
      <c r="B106"/>
      <c r="C106" s="1"/>
      <c r="D106" s="1"/>
    </row>
    <row r="107" spans="2:7" x14ac:dyDescent="0.25">
      <c r="B107"/>
      <c r="C107" s="1"/>
      <c r="D107" s="1"/>
    </row>
    <row r="108" spans="2:7" x14ac:dyDescent="0.25">
      <c r="B108"/>
      <c r="C108" s="1"/>
      <c r="D108" s="1"/>
    </row>
    <row r="109" spans="2:7" x14ac:dyDescent="0.25">
      <c r="B109"/>
      <c r="C109" s="1"/>
      <c r="D109" s="1"/>
    </row>
    <row r="110" spans="2:7" x14ac:dyDescent="0.25">
      <c r="B110"/>
      <c r="C110" s="1"/>
      <c r="D110" s="1"/>
      <c r="G110" s="6">
        <f>SUM(I45:I52)</f>
        <v>0</v>
      </c>
    </row>
    <row r="111" spans="2:7" x14ac:dyDescent="0.25">
      <c r="B111"/>
      <c r="C111" s="1"/>
      <c r="D111" s="1"/>
      <c r="G111" s="6">
        <f>SUM(I70:I86)</f>
        <v>0</v>
      </c>
    </row>
    <row r="112" spans="2:7" x14ac:dyDescent="0.25">
      <c r="B112"/>
      <c r="C112" s="1"/>
      <c r="D112" s="1"/>
      <c r="G112" s="6">
        <f>SUM(G110:G111)</f>
        <v>0</v>
      </c>
    </row>
    <row r="113" spans="2:4" x14ac:dyDescent="0.25">
      <c r="B113"/>
      <c r="C113" s="1"/>
      <c r="D113" s="1"/>
    </row>
  </sheetData>
  <sheetProtection autoFilter="0"/>
  <autoFilter ref="A2:J92" xr:uid="{B1208A1B-6A09-4AC1-9B0C-20450F2DD92C}"/>
  <mergeCells count="2">
    <mergeCell ref="D1:G1"/>
    <mergeCell ref="A1:C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D684AF-AB5E-49AE-9D59-3DE8553D3F93}">
          <x14:formula1>
            <xm:f>'Drop Down Data'!$E$12:$E$14</xm:f>
          </x14:formula1>
          <xm:sqref>G3:G86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9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A15" sqref="A15:XFD16"/>
    </sheetView>
  </sheetViews>
  <sheetFormatPr defaultColWidth="8.77734375" defaultRowHeight="13.2" x14ac:dyDescent="0.25"/>
  <cols>
    <col min="1" max="1" width="19" customWidth="1"/>
    <col min="2" max="2" width="54.5546875" customWidth="1"/>
    <col min="3" max="3" width="19.77734375" customWidth="1"/>
    <col min="4" max="4" width="11.77734375" style="1" bestFit="1" customWidth="1"/>
    <col min="5" max="5" width="27.33203125" customWidth="1"/>
    <col min="6" max="6" width="16.6640625" customWidth="1"/>
    <col min="7" max="7" width="21.44140625" customWidth="1"/>
    <col min="8" max="8" width="5.44140625" customWidth="1"/>
    <col min="9" max="10" width="18.21875" customWidth="1"/>
    <col min="11" max="11" width="16.5546875" customWidth="1"/>
    <col min="12" max="12" width="10.5546875" bestFit="1" customWidth="1"/>
    <col min="13" max="13" width="11.21875" customWidth="1"/>
    <col min="14" max="14" width="16" customWidth="1"/>
    <col min="15" max="15" width="11.44140625" customWidth="1"/>
    <col min="16" max="16" width="14.77734375" customWidth="1"/>
    <col min="17" max="18" width="17.21875" customWidth="1"/>
    <col min="19" max="19" width="1.44140625" customWidth="1"/>
    <col min="20" max="22" width="17.21875" customWidth="1"/>
    <col min="25" max="25" width="12.77734375" customWidth="1"/>
  </cols>
  <sheetData>
    <row r="1" spans="1:14" ht="13.8" hidden="1" thickBot="1" x14ac:dyDescent="0.3"/>
    <row r="2" spans="1:14" ht="16.2" thickBot="1" x14ac:dyDescent="0.35">
      <c r="A2" s="425" t="s">
        <v>122</v>
      </c>
      <c r="B2" s="426"/>
      <c r="C2" s="427" t="s">
        <v>123</v>
      </c>
      <c r="D2" s="428"/>
      <c r="E2" s="423" t="s">
        <v>131</v>
      </c>
      <c r="F2" s="424"/>
      <c r="G2" s="115">
        <f ca="1">G113</f>
        <v>0</v>
      </c>
      <c r="H2" s="8"/>
      <c r="I2" s="116">
        <f ca="1">I113</f>
        <v>0</v>
      </c>
      <c r="J2" s="117">
        <f ca="1">IF(I2=0,0,I2/('Labor Projections'!F9))</f>
        <v>0</v>
      </c>
    </row>
    <row r="3" spans="1:14" ht="13.8" thickBot="1" x14ac:dyDescent="0.3">
      <c r="A3" s="301" t="s">
        <v>114</v>
      </c>
      <c r="B3" s="302" t="s">
        <v>1</v>
      </c>
      <c r="C3" s="303" t="s">
        <v>35</v>
      </c>
      <c r="D3" s="304" t="s">
        <v>36</v>
      </c>
      <c r="E3" s="303" t="s">
        <v>133</v>
      </c>
      <c r="F3" s="305" t="s">
        <v>134</v>
      </c>
      <c r="G3" s="306" t="s">
        <v>7</v>
      </c>
      <c r="H3" s="8"/>
      <c r="I3" s="307" t="s">
        <v>24</v>
      </c>
      <c r="J3" s="307" t="s">
        <v>111</v>
      </c>
    </row>
    <row r="4" spans="1:14" ht="13.8" thickBot="1" x14ac:dyDescent="0.3">
      <c r="A4" s="301" t="s">
        <v>116</v>
      </c>
      <c r="B4" s="302" t="s">
        <v>34</v>
      </c>
      <c r="C4" s="303" t="s">
        <v>35</v>
      </c>
      <c r="D4" s="304" t="s">
        <v>36</v>
      </c>
      <c r="E4" s="308" t="s">
        <v>133</v>
      </c>
      <c r="F4" s="309" t="s">
        <v>134</v>
      </c>
      <c r="G4" s="310">
        <f>SUM(G5:G8)</f>
        <v>0</v>
      </c>
      <c r="H4" s="8"/>
      <c r="I4" s="311">
        <f>SUM(I5:I8)</f>
        <v>0</v>
      </c>
      <c r="J4" s="312">
        <f>SUM(J5:J8)</f>
        <v>0</v>
      </c>
      <c r="K4" s="2"/>
      <c r="N4" s="2"/>
    </row>
    <row r="5" spans="1:14" x14ac:dyDescent="0.25">
      <c r="A5" s="16"/>
      <c r="B5" s="119" t="s">
        <v>37</v>
      </c>
      <c r="C5" s="120">
        <v>10</v>
      </c>
      <c r="D5" s="121" t="s">
        <v>38</v>
      </c>
      <c r="E5" s="17" t="s">
        <v>132</v>
      </c>
      <c r="F5" s="7">
        <f>VLOOKUP(E5,'Labor Projections'!A$3:D$12,4,FALSE)</f>
        <v>85</v>
      </c>
      <c r="G5" s="9">
        <f>I5*F5</f>
        <v>0</v>
      </c>
      <c r="H5" s="10"/>
      <c r="I5" s="11">
        <f>(A5*C5)/60</f>
        <v>0</v>
      </c>
      <c r="J5" s="66">
        <f t="shared" ref="J5:J8" si="0">IF(I5=0,0,I5/I$2)</f>
        <v>0</v>
      </c>
      <c r="K5" s="5"/>
      <c r="L5" s="6"/>
    </row>
    <row r="6" spans="1:14" x14ac:dyDescent="0.25">
      <c r="A6" s="18"/>
      <c r="B6" s="63" t="s">
        <v>311</v>
      </c>
      <c r="C6" s="64">
        <v>60</v>
      </c>
      <c r="D6" s="122" t="s">
        <v>38</v>
      </c>
      <c r="E6" s="17" t="s">
        <v>132</v>
      </c>
      <c r="F6" s="7">
        <f>VLOOKUP(E6,'Labor Projections'!A$3:D$12,4,FALSE)</f>
        <v>85</v>
      </c>
      <c r="G6" s="9">
        <f t="shared" ref="G6:G8" si="1">I6*F6</f>
        <v>0</v>
      </c>
      <c r="H6" s="10"/>
      <c r="I6" s="11">
        <f t="shared" ref="I6:I8" si="2">(A6*C6)/60</f>
        <v>0</v>
      </c>
      <c r="J6" s="66">
        <f t="shared" si="0"/>
        <v>0</v>
      </c>
      <c r="K6" s="5"/>
    </row>
    <row r="7" spans="1:14" x14ac:dyDescent="0.25">
      <c r="A7" s="268"/>
      <c r="B7" s="63" t="s">
        <v>310</v>
      </c>
      <c r="C7" s="64">
        <v>1</v>
      </c>
      <c r="D7" s="29" t="s">
        <v>38</v>
      </c>
      <c r="E7" s="17" t="s">
        <v>132</v>
      </c>
      <c r="F7" s="7">
        <f>VLOOKUP(E7,'Labor Projections'!A$3:D$12,4,FALSE)</f>
        <v>85</v>
      </c>
      <c r="G7" s="9">
        <f t="shared" si="1"/>
        <v>0</v>
      </c>
      <c r="H7" s="10"/>
      <c r="I7" s="11">
        <f t="shared" si="2"/>
        <v>0</v>
      </c>
      <c r="J7" s="66">
        <f t="shared" si="0"/>
        <v>0</v>
      </c>
      <c r="K7" s="5"/>
    </row>
    <row r="8" spans="1:14" ht="13.8" thickBot="1" x14ac:dyDescent="0.3">
      <c r="A8" s="19"/>
      <c r="B8" s="123" t="s">
        <v>43</v>
      </c>
      <c r="C8" s="124">
        <v>60</v>
      </c>
      <c r="D8" s="125" t="s">
        <v>38</v>
      </c>
      <c r="E8" s="17" t="s">
        <v>132</v>
      </c>
      <c r="F8" s="7">
        <f>VLOOKUP(E8,'Labor Projections'!A$3:D$12,4,FALSE)</f>
        <v>85</v>
      </c>
      <c r="G8" s="9">
        <f t="shared" si="1"/>
        <v>0</v>
      </c>
      <c r="H8" s="10"/>
      <c r="I8" s="11">
        <f t="shared" si="2"/>
        <v>0</v>
      </c>
      <c r="J8" s="66">
        <f t="shared" si="0"/>
        <v>0</v>
      </c>
      <c r="K8" s="5"/>
    </row>
    <row r="9" spans="1:14" ht="13.8" thickBot="1" x14ac:dyDescent="0.3">
      <c r="A9" s="301" t="s">
        <v>116</v>
      </c>
      <c r="B9" s="302" t="s">
        <v>44</v>
      </c>
      <c r="C9" s="303" t="s">
        <v>35</v>
      </c>
      <c r="D9" s="304" t="s">
        <v>36</v>
      </c>
      <c r="E9" s="313" t="s">
        <v>133</v>
      </c>
      <c r="F9" s="314" t="s">
        <v>134</v>
      </c>
      <c r="G9" s="315">
        <f>SUM(G10:G11)</f>
        <v>0</v>
      </c>
      <c r="H9" s="8"/>
      <c r="I9" s="307">
        <f>SUM(I10:I11)</f>
        <v>0</v>
      </c>
      <c r="J9" s="316">
        <f>SUM(J10:J11)</f>
        <v>0</v>
      </c>
      <c r="K9" s="2"/>
      <c r="N9" s="2"/>
    </row>
    <row r="10" spans="1:14" x14ac:dyDescent="0.25">
      <c r="A10" s="20"/>
      <c r="B10" s="126" t="s">
        <v>45</v>
      </c>
      <c r="C10" s="127">
        <v>10</v>
      </c>
      <c r="D10" s="128" t="s">
        <v>38</v>
      </c>
      <c r="E10" s="17" t="s">
        <v>132</v>
      </c>
      <c r="F10" s="7">
        <f>VLOOKUP(E10,'Labor Projections'!A$3:D$12,4,FALSE)</f>
        <v>85</v>
      </c>
      <c r="G10" s="9">
        <f>I10*F10</f>
        <v>0</v>
      </c>
      <c r="H10" s="10"/>
      <c r="I10" s="11">
        <f>(A10*C10)/60</f>
        <v>0</v>
      </c>
      <c r="J10" s="66">
        <f>IF(I10=0,0,I10/I$2)</f>
        <v>0</v>
      </c>
      <c r="K10" s="5"/>
    </row>
    <row r="11" spans="1:14" ht="13.8" thickBot="1" x14ac:dyDescent="0.3">
      <c r="A11" s="19"/>
      <c r="B11" s="123" t="s">
        <v>46</v>
      </c>
      <c r="C11" s="124">
        <v>15</v>
      </c>
      <c r="D11" s="129" t="s">
        <v>38</v>
      </c>
      <c r="E11" s="17" t="s">
        <v>132</v>
      </c>
      <c r="F11" s="7">
        <f>VLOOKUP(E11,'Labor Projections'!A$3:D$12,4,FALSE)</f>
        <v>85</v>
      </c>
      <c r="G11" s="9">
        <f>I11*F11</f>
        <v>0</v>
      </c>
      <c r="H11" s="10"/>
      <c r="I11" s="11">
        <f>(A11*C11)/60</f>
        <v>0</v>
      </c>
      <c r="J11" s="66">
        <f>IF(I11=0,0,I11/I$2)</f>
        <v>0</v>
      </c>
      <c r="K11" s="5"/>
    </row>
    <row r="12" spans="1:14" ht="13.8" thickBot="1" x14ac:dyDescent="0.3">
      <c r="A12" s="301" t="s">
        <v>116</v>
      </c>
      <c r="B12" s="302" t="s">
        <v>47</v>
      </c>
      <c r="C12" s="303" t="s">
        <v>35</v>
      </c>
      <c r="D12" s="304" t="s">
        <v>36</v>
      </c>
      <c r="E12" s="303" t="s">
        <v>133</v>
      </c>
      <c r="F12" s="305" t="s">
        <v>134</v>
      </c>
      <c r="G12" s="315">
        <f>SUM(G13:G16)</f>
        <v>0</v>
      </c>
      <c r="H12" s="8"/>
      <c r="I12" s="307">
        <f>SUM(I13:I16)</f>
        <v>0</v>
      </c>
      <c r="J12" s="316">
        <f>SUM(J13:J16)</f>
        <v>0</v>
      </c>
      <c r="K12" s="2"/>
      <c r="N12" s="2"/>
    </row>
    <row r="13" spans="1:14" x14ac:dyDescent="0.25">
      <c r="A13" s="20"/>
      <c r="B13" s="126" t="s">
        <v>48</v>
      </c>
      <c r="C13" s="127">
        <v>1</v>
      </c>
      <c r="D13" s="128" t="s">
        <v>40</v>
      </c>
      <c r="E13" s="17" t="s">
        <v>132</v>
      </c>
      <c r="F13" s="7">
        <f>VLOOKUP(E13,'Labor Projections'!A$3:D$12,4,FALSE)</f>
        <v>85</v>
      </c>
      <c r="G13" s="9">
        <f t="shared" ref="G13:G16" si="3">I13*F13</f>
        <v>0</v>
      </c>
      <c r="H13" s="10"/>
      <c r="I13" s="11">
        <f t="shared" ref="I13:I16" si="4">(A13*C13)/60</f>
        <v>0</v>
      </c>
      <c r="J13" s="66">
        <f t="shared" ref="J13:J16" si="5">IF(I13=0,0,I13/I$2)</f>
        <v>0</v>
      </c>
      <c r="K13" s="5"/>
    </row>
    <row r="14" spans="1:14" x14ac:dyDescent="0.25">
      <c r="A14" s="18"/>
      <c r="B14" s="63" t="s">
        <v>49</v>
      </c>
      <c r="C14" s="64">
        <v>1</v>
      </c>
      <c r="D14" s="29" t="s">
        <v>40</v>
      </c>
      <c r="E14" s="17" t="s">
        <v>132</v>
      </c>
      <c r="F14" s="7">
        <f>VLOOKUP(E14,'Labor Projections'!A$3:D$12,4,FALSE)</f>
        <v>85</v>
      </c>
      <c r="G14" s="9">
        <f t="shared" si="3"/>
        <v>0</v>
      </c>
      <c r="H14" s="10"/>
      <c r="I14" s="11">
        <f t="shared" si="4"/>
        <v>0</v>
      </c>
      <c r="J14" s="66">
        <f t="shared" si="5"/>
        <v>0</v>
      </c>
      <c r="K14" s="5"/>
    </row>
    <row r="15" spans="1:14" x14ac:dyDescent="0.25">
      <c r="A15" s="18"/>
      <c r="B15" s="63" t="s">
        <v>50</v>
      </c>
      <c r="C15" s="64">
        <v>5</v>
      </c>
      <c r="D15" s="29" t="s">
        <v>40</v>
      </c>
      <c r="E15" s="17" t="s">
        <v>132</v>
      </c>
      <c r="F15" s="7">
        <f>VLOOKUP(E15,'Labor Projections'!A$3:D$12,4,FALSE)</f>
        <v>85</v>
      </c>
      <c r="G15" s="9">
        <f t="shared" si="3"/>
        <v>0</v>
      </c>
      <c r="H15" s="10"/>
      <c r="I15" s="11">
        <f t="shared" si="4"/>
        <v>0</v>
      </c>
      <c r="J15" s="66">
        <f t="shared" si="5"/>
        <v>0</v>
      </c>
      <c r="K15" s="5"/>
    </row>
    <row r="16" spans="1:14" ht="13.8" thickBot="1" x14ac:dyDescent="0.3">
      <c r="A16" s="18"/>
      <c r="B16" s="63" t="s">
        <v>51</v>
      </c>
      <c r="C16" s="64">
        <v>2</v>
      </c>
      <c r="D16" s="29" t="s">
        <v>40</v>
      </c>
      <c r="E16" s="17" t="s">
        <v>132</v>
      </c>
      <c r="F16" s="7">
        <f>VLOOKUP(E16,'Labor Projections'!A$3:D$12,4,FALSE)</f>
        <v>85</v>
      </c>
      <c r="G16" s="9">
        <f t="shared" si="3"/>
        <v>0</v>
      </c>
      <c r="H16" s="10"/>
      <c r="I16" s="11">
        <f t="shared" si="4"/>
        <v>0</v>
      </c>
      <c r="J16" s="66">
        <f t="shared" si="5"/>
        <v>0</v>
      </c>
      <c r="K16" s="5"/>
    </row>
    <row r="17" spans="1:14" ht="13.8" thickBot="1" x14ac:dyDescent="0.3">
      <c r="A17" s="301" t="s">
        <v>116</v>
      </c>
      <c r="B17" s="302" t="s">
        <v>52</v>
      </c>
      <c r="C17" s="303" t="s">
        <v>35</v>
      </c>
      <c r="D17" s="304" t="s">
        <v>36</v>
      </c>
      <c r="E17" s="303" t="s">
        <v>133</v>
      </c>
      <c r="F17" s="305" t="s">
        <v>134</v>
      </c>
      <c r="G17" s="315">
        <f>SUM(G18:G33)</f>
        <v>0</v>
      </c>
      <c r="H17" s="8"/>
      <c r="I17" s="307">
        <f>SUM(I18:I33)</f>
        <v>0</v>
      </c>
      <c r="J17" s="316">
        <f>SUM(J18:J33)</f>
        <v>0</v>
      </c>
      <c r="K17" s="2"/>
      <c r="N17" s="2"/>
    </row>
    <row r="18" spans="1:14" x14ac:dyDescent="0.25">
      <c r="A18" s="18"/>
      <c r="B18" s="63" t="s">
        <v>37</v>
      </c>
      <c r="C18" s="64">
        <v>4</v>
      </c>
      <c r="D18" s="29" t="s">
        <v>40</v>
      </c>
      <c r="E18" s="17" t="s">
        <v>132</v>
      </c>
      <c r="F18" s="7">
        <f>VLOOKUP(E18,'Labor Projections'!A$3:D$12,4,FALSE)</f>
        <v>85</v>
      </c>
      <c r="G18" s="9">
        <f t="shared" ref="G18:G29" si="6">I18*F18</f>
        <v>0</v>
      </c>
      <c r="H18" s="10"/>
      <c r="I18" s="11">
        <f t="shared" ref="I18:I29" si="7">(A18*C18)/60</f>
        <v>0</v>
      </c>
      <c r="J18" s="66">
        <f t="shared" ref="J18:J33" si="8">IF(I18=0,0,I18/I$2)</f>
        <v>0</v>
      </c>
      <c r="K18" s="5"/>
    </row>
    <row r="19" spans="1:14" x14ac:dyDescent="0.25">
      <c r="A19" s="18"/>
      <c r="B19" s="63" t="s">
        <v>39</v>
      </c>
      <c r="C19" s="64">
        <v>4</v>
      </c>
      <c r="D19" s="29" t="s">
        <v>40</v>
      </c>
      <c r="E19" s="17" t="s">
        <v>132</v>
      </c>
      <c r="F19" s="7">
        <f>VLOOKUP(E19,'Labor Projections'!A$3:D$12,4,FALSE)</f>
        <v>85</v>
      </c>
      <c r="G19" s="9">
        <f t="shared" si="6"/>
        <v>0</v>
      </c>
      <c r="H19" s="10"/>
      <c r="I19" s="11">
        <f t="shared" si="7"/>
        <v>0</v>
      </c>
      <c r="J19" s="66">
        <f t="shared" si="8"/>
        <v>0</v>
      </c>
      <c r="K19" s="5"/>
    </row>
    <row r="20" spans="1:14" x14ac:dyDescent="0.25">
      <c r="A20" s="18"/>
      <c r="B20" s="63" t="s">
        <v>42</v>
      </c>
      <c r="C20" s="64">
        <v>3</v>
      </c>
      <c r="D20" s="29" t="s">
        <v>40</v>
      </c>
      <c r="E20" s="17" t="s">
        <v>132</v>
      </c>
      <c r="F20" s="7">
        <f>VLOOKUP(E20,'Labor Projections'!A$3:D$12,4,FALSE)</f>
        <v>85</v>
      </c>
      <c r="G20" s="9">
        <f t="shared" si="6"/>
        <v>0</v>
      </c>
      <c r="H20" s="10"/>
      <c r="I20" s="11">
        <f t="shared" si="7"/>
        <v>0</v>
      </c>
      <c r="J20" s="66">
        <f t="shared" si="8"/>
        <v>0</v>
      </c>
      <c r="K20" s="5"/>
    </row>
    <row r="21" spans="1:14" x14ac:dyDescent="0.25">
      <c r="A21" s="18"/>
      <c r="B21" s="63" t="s">
        <v>106</v>
      </c>
      <c r="C21" s="64">
        <v>15</v>
      </c>
      <c r="D21" s="29" t="s">
        <v>38</v>
      </c>
      <c r="E21" s="17" t="s">
        <v>132</v>
      </c>
      <c r="F21" s="7">
        <f>VLOOKUP(E21,'Labor Projections'!A$3:D$12,4,FALSE)</f>
        <v>85</v>
      </c>
      <c r="G21" s="9">
        <f t="shared" si="6"/>
        <v>0</v>
      </c>
      <c r="H21" s="10"/>
      <c r="I21" s="11">
        <f t="shared" si="7"/>
        <v>0</v>
      </c>
      <c r="J21" s="66">
        <f t="shared" si="8"/>
        <v>0</v>
      </c>
      <c r="K21" s="5"/>
    </row>
    <row r="22" spans="1:14" x14ac:dyDescent="0.25">
      <c r="A22" s="18"/>
      <c r="B22" s="63" t="s">
        <v>107</v>
      </c>
      <c r="C22" s="64">
        <v>10</v>
      </c>
      <c r="D22" s="29" t="s">
        <v>38</v>
      </c>
      <c r="E22" s="17" t="s">
        <v>132</v>
      </c>
      <c r="F22" s="7">
        <f>VLOOKUP(E22,'Labor Projections'!A$3:D$12,4,FALSE)</f>
        <v>85</v>
      </c>
      <c r="G22" s="9">
        <f t="shared" si="6"/>
        <v>0</v>
      </c>
      <c r="H22" s="10"/>
      <c r="I22" s="11">
        <f t="shared" si="7"/>
        <v>0</v>
      </c>
      <c r="J22" s="66">
        <f t="shared" si="8"/>
        <v>0</v>
      </c>
      <c r="K22" s="5"/>
    </row>
    <row r="23" spans="1:14" x14ac:dyDescent="0.25">
      <c r="A23" s="18"/>
      <c r="B23" s="63" t="s">
        <v>108</v>
      </c>
      <c r="C23" s="64">
        <v>15</v>
      </c>
      <c r="D23" s="29" t="s">
        <v>38</v>
      </c>
      <c r="E23" s="17" t="s">
        <v>132</v>
      </c>
      <c r="F23" s="7">
        <f>VLOOKUP(E23,'Labor Projections'!A$3:D$12,4,FALSE)</f>
        <v>85</v>
      </c>
      <c r="G23" s="9">
        <f t="shared" si="6"/>
        <v>0</v>
      </c>
      <c r="H23" s="10"/>
      <c r="I23" s="11">
        <f t="shared" si="7"/>
        <v>0</v>
      </c>
      <c r="J23" s="66">
        <f t="shared" si="8"/>
        <v>0</v>
      </c>
      <c r="K23" s="5"/>
    </row>
    <row r="24" spans="1:14" x14ac:dyDescent="0.25">
      <c r="A24" s="18"/>
      <c r="B24" s="63" t="s">
        <v>109</v>
      </c>
      <c r="C24" s="64">
        <v>15</v>
      </c>
      <c r="D24" s="29" t="s">
        <v>38</v>
      </c>
      <c r="E24" s="17" t="s">
        <v>132</v>
      </c>
      <c r="F24" s="7">
        <f>VLOOKUP(E24,'Labor Projections'!A$3:D$12,4,FALSE)</f>
        <v>85</v>
      </c>
      <c r="G24" s="9">
        <f t="shared" si="6"/>
        <v>0</v>
      </c>
      <c r="H24" s="10"/>
      <c r="I24" s="11">
        <f t="shared" si="7"/>
        <v>0</v>
      </c>
      <c r="J24" s="66">
        <f t="shared" si="8"/>
        <v>0</v>
      </c>
      <c r="K24" s="5"/>
    </row>
    <row r="25" spans="1:14" x14ac:dyDescent="0.25">
      <c r="A25" s="269">
        <f>SUM(A21:A24,A31)</f>
        <v>0</v>
      </c>
      <c r="B25" s="126" t="s">
        <v>312</v>
      </c>
      <c r="C25" s="127">
        <v>2</v>
      </c>
      <c r="D25" s="128" t="s">
        <v>38</v>
      </c>
      <c r="E25" s="17" t="s">
        <v>132</v>
      </c>
      <c r="F25" s="7">
        <f>VLOOKUP(E25,'Labor Projections'!A$3:D$12,4,FALSE)</f>
        <v>85</v>
      </c>
      <c r="G25" s="9">
        <f t="shared" si="6"/>
        <v>0</v>
      </c>
      <c r="H25" s="10"/>
      <c r="I25" s="11">
        <f t="shared" si="7"/>
        <v>0</v>
      </c>
      <c r="J25" s="66">
        <f t="shared" si="8"/>
        <v>0</v>
      </c>
      <c r="K25" s="5"/>
    </row>
    <row r="26" spans="1:14" x14ac:dyDescent="0.25">
      <c r="A26" s="18"/>
      <c r="B26" s="63" t="s">
        <v>105</v>
      </c>
      <c r="C26" s="64">
        <v>15</v>
      </c>
      <c r="D26" s="130" t="s">
        <v>38</v>
      </c>
      <c r="E26" s="17" t="s">
        <v>132</v>
      </c>
      <c r="F26" s="7">
        <f>VLOOKUP(E26,'Labor Projections'!A$3:D$12,4,FALSE)</f>
        <v>85</v>
      </c>
      <c r="G26" s="9">
        <f t="shared" si="6"/>
        <v>0</v>
      </c>
      <c r="H26" s="10"/>
      <c r="I26" s="11">
        <f t="shared" si="7"/>
        <v>0</v>
      </c>
      <c r="J26" s="66">
        <f t="shared" si="8"/>
        <v>0</v>
      </c>
      <c r="K26" s="5"/>
    </row>
    <row r="27" spans="1:14" x14ac:dyDescent="0.25">
      <c r="A27" s="18"/>
      <c r="B27" s="63" t="s">
        <v>54</v>
      </c>
      <c r="C27" s="64">
        <v>15</v>
      </c>
      <c r="D27" s="29" t="s">
        <v>38</v>
      </c>
      <c r="E27" s="17" t="s">
        <v>132</v>
      </c>
      <c r="F27" s="7">
        <f>VLOOKUP(E27,'Labor Projections'!A$3:D$12,4,FALSE)</f>
        <v>85</v>
      </c>
      <c r="G27" s="9">
        <f t="shared" si="6"/>
        <v>0</v>
      </c>
      <c r="H27" s="10"/>
      <c r="I27" s="11">
        <f t="shared" si="7"/>
        <v>0</v>
      </c>
      <c r="J27" s="66">
        <f t="shared" si="8"/>
        <v>0</v>
      </c>
      <c r="K27" s="5"/>
    </row>
    <row r="28" spans="1:14" x14ac:dyDescent="0.25">
      <c r="A28" s="268">
        <f>A27*4</f>
        <v>0</v>
      </c>
      <c r="B28" s="63" t="s">
        <v>313</v>
      </c>
      <c r="C28" s="64">
        <v>3</v>
      </c>
      <c r="D28" s="29" t="s">
        <v>38</v>
      </c>
      <c r="E28" s="17" t="s">
        <v>132</v>
      </c>
      <c r="F28" s="7">
        <f>VLOOKUP(E28,'Labor Projections'!A$3:D$12,4,FALSE)</f>
        <v>85</v>
      </c>
      <c r="G28" s="9">
        <f t="shared" si="6"/>
        <v>0</v>
      </c>
      <c r="H28" s="10"/>
      <c r="I28" s="11">
        <f t="shared" si="7"/>
        <v>0</v>
      </c>
      <c r="J28" s="66">
        <f t="shared" si="8"/>
        <v>0</v>
      </c>
      <c r="K28" s="5"/>
    </row>
    <row r="29" spans="1:14" x14ac:dyDescent="0.25">
      <c r="A29" s="18"/>
      <c r="B29" s="63" t="s">
        <v>321</v>
      </c>
      <c r="C29" s="64">
        <v>1</v>
      </c>
      <c r="D29" s="29" t="s">
        <v>40</v>
      </c>
      <c r="E29" s="17" t="s">
        <v>132</v>
      </c>
      <c r="F29" s="7">
        <f>VLOOKUP(E29,'Labor Projections'!A$3:D$12,4,FALSE)</f>
        <v>85</v>
      </c>
      <c r="G29" s="9">
        <f t="shared" si="6"/>
        <v>0</v>
      </c>
      <c r="H29" s="10"/>
      <c r="I29" s="11">
        <f t="shared" si="7"/>
        <v>0</v>
      </c>
      <c r="J29" s="66">
        <f t="shared" si="8"/>
        <v>0</v>
      </c>
      <c r="K29" s="5"/>
    </row>
    <row r="30" spans="1:14" x14ac:dyDescent="0.25">
      <c r="A30" s="18"/>
      <c r="B30" s="63" t="s">
        <v>223</v>
      </c>
      <c r="C30" s="64">
        <v>3</v>
      </c>
      <c r="D30" s="29" t="s">
        <v>40</v>
      </c>
      <c r="E30" s="17" t="s">
        <v>132</v>
      </c>
      <c r="F30" s="7">
        <f>VLOOKUP(E30,'Labor Projections'!A$3:D$12,4,FALSE)</f>
        <v>85</v>
      </c>
      <c r="G30" s="9">
        <f>I30*F30</f>
        <v>0</v>
      </c>
      <c r="H30" s="10"/>
      <c r="I30" s="11">
        <f>(A30*C30)/60</f>
        <v>0</v>
      </c>
      <c r="J30" s="66">
        <f t="shared" si="8"/>
        <v>0</v>
      </c>
      <c r="K30" s="118"/>
    </row>
    <row r="31" spans="1:14" x14ac:dyDescent="0.25">
      <c r="A31" s="19"/>
      <c r="B31" s="63" t="s">
        <v>53</v>
      </c>
      <c r="C31" s="124">
        <v>15</v>
      </c>
      <c r="D31" s="131" t="s">
        <v>38</v>
      </c>
      <c r="E31" s="17" t="s">
        <v>132</v>
      </c>
      <c r="F31" s="7">
        <f>VLOOKUP(E31,'Labor Projections'!A$3:D$12,4,FALSE)</f>
        <v>85</v>
      </c>
      <c r="G31" s="9">
        <f>I31*F31</f>
        <v>0</v>
      </c>
      <c r="H31" s="10"/>
      <c r="I31" s="11">
        <f>(A31*C31)/60</f>
        <v>0</v>
      </c>
      <c r="J31" s="66">
        <f>IF(I31=0,0,I31/I$2)</f>
        <v>0</v>
      </c>
      <c r="K31" s="118"/>
    </row>
    <row r="32" spans="1:14" x14ac:dyDescent="0.25">
      <c r="A32" s="270">
        <f>A31/2</f>
        <v>0</v>
      </c>
      <c r="B32" s="123" t="s">
        <v>224</v>
      </c>
      <c r="C32" s="124">
        <v>15</v>
      </c>
      <c r="D32" s="131" t="s">
        <v>38</v>
      </c>
      <c r="E32" s="17" t="s">
        <v>132</v>
      </c>
      <c r="F32" s="7">
        <f>VLOOKUP(E32,'Labor Projections'!A$3:D$12,4,FALSE)</f>
        <v>85</v>
      </c>
      <c r="G32" s="9">
        <f>I32*F32</f>
        <v>0</v>
      </c>
      <c r="H32" s="10"/>
      <c r="I32" s="11">
        <f>(A32*C32)/60</f>
        <v>0</v>
      </c>
      <c r="J32" s="66">
        <f>IF(I32=0,0,I32/I$2)</f>
        <v>0</v>
      </c>
      <c r="K32" s="118"/>
    </row>
    <row r="33" spans="1:14" ht="13.8" thickBot="1" x14ac:dyDescent="0.3">
      <c r="A33" s="270">
        <f>SUM(A21:A24)/2</f>
        <v>0</v>
      </c>
      <c r="B33" s="123" t="s">
        <v>110</v>
      </c>
      <c r="C33" s="124">
        <v>30</v>
      </c>
      <c r="D33" s="129" t="s">
        <v>38</v>
      </c>
      <c r="E33" s="17" t="s">
        <v>132</v>
      </c>
      <c r="F33" s="7">
        <f>VLOOKUP(E33,'Labor Projections'!A$3:D$12,4,FALSE)</f>
        <v>85</v>
      </c>
      <c r="G33" s="9">
        <f>I33*F33</f>
        <v>0</v>
      </c>
      <c r="H33" s="10"/>
      <c r="I33" s="11">
        <f>(A33*C33)/60</f>
        <v>0</v>
      </c>
      <c r="J33" s="66">
        <f t="shared" si="8"/>
        <v>0</v>
      </c>
      <c r="K33" s="5"/>
    </row>
    <row r="34" spans="1:14" ht="13.8" thickBot="1" x14ac:dyDescent="0.3">
      <c r="A34" s="301" t="s">
        <v>116</v>
      </c>
      <c r="B34" s="302" t="s">
        <v>55</v>
      </c>
      <c r="C34" s="303" t="s">
        <v>35</v>
      </c>
      <c r="D34" s="304" t="s">
        <v>36</v>
      </c>
      <c r="E34" s="303" t="s">
        <v>133</v>
      </c>
      <c r="F34" s="305" t="s">
        <v>134</v>
      </c>
      <c r="G34" s="315">
        <f>SUM(G35:G39)</f>
        <v>0</v>
      </c>
      <c r="H34" s="8"/>
      <c r="I34" s="307">
        <f>SUM(I35:I39)</f>
        <v>0</v>
      </c>
      <c r="J34" s="316">
        <f>SUM(J35:J39)</f>
        <v>0</v>
      </c>
      <c r="K34" s="2"/>
      <c r="N34" s="2"/>
    </row>
    <row r="35" spans="1:14" x14ac:dyDescent="0.25">
      <c r="A35" s="20"/>
      <c r="B35" s="126" t="s">
        <v>37</v>
      </c>
      <c r="C35" s="127">
        <v>2</v>
      </c>
      <c r="D35" s="128" t="s">
        <v>40</v>
      </c>
      <c r="E35" s="17" t="s">
        <v>132</v>
      </c>
      <c r="F35" s="7">
        <f>VLOOKUP(E35,'Labor Projections'!A$3:D$12,4,FALSE)</f>
        <v>85</v>
      </c>
      <c r="G35" s="9">
        <f t="shared" ref="G35:G39" si="9">I35*F35</f>
        <v>0</v>
      </c>
      <c r="H35" s="10"/>
      <c r="I35" s="11">
        <f t="shared" ref="I35:I39" si="10">(A35*C35)/60</f>
        <v>0</v>
      </c>
      <c r="J35" s="66">
        <f t="shared" ref="J35:J39" si="11">IF(I35=0,0,I35/I$2)</f>
        <v>0</v>
      </c>
      <c r="K35" s="5"/>
    </row>
    <row r="36" spans="1:14" x14ac:dyDescent="0.25">
      <c r="A36" s="18"/>
      <c r="B36" s="63" t="s">
        <v>39</v>
      </c>
      <c r="C36" s="64">
        <v>2</v>
      </c>
      <c r="D36" s="29" t="s">
        <v>40</v>
      </c>
      <c r="E36" s="17" t="s">
        <v>132</v>
      </c>
      <c r="F36" s="7">
        <f>VLOOKUP(E36,'Labor Projections'!A$3:D$12,4,FALSE)</f>
        <v>85</v>
      </c>
      <c r="G36" s="9">
        <f t="shared" si="9"/>
        <v>0</v>
      </c>
      <c r="H36" s="10"/>
      <c r="I36" s="11">
        <f t="shared" si="10"/>
        <v>0</v>
      </c>
      <c r="J36" s="66">
        <f t="shared" si="11"/>
        <v>0</v>
      </c>
      <c r="K36" s="5"/>
    </row>
    <row r="37" spans="1:14" x14ac:dyDescent="0.25">
      <c r="A37" s="18"/>
      <c r="B37" s="63" t="s">
        <v>42</v>
      </c>
      <c r="C37" s="64">
        <v>2</v>
      </c>
      <c r="D37" s="29" t="s">
        <v>40</v>
      </c>
      <c r="E37" s="17" t="s">
        <v>132</v>
      </c>
      <c r="F37" s="7">
        <f>VLOOKUP(E37,'Labor Projections'!A$3:D$12,4,FALSE)</f>
        <v>85</v>
      </c>
      <c r="G37" s="9">
        <f t="shared" si="9"/>
        <v>0</v>
      </c>
      <c r="H37" s="10"/>
      <c r="I37" s="11">
        <f t="shared" si="10"/>
        <v>0</v>
      </c>
      <c r="J37" s="66">
        <f t="shared" si="11"/>
        <v>0</v>
      </c>
      <c r="K37" s="5"/>
    </row>
    <row r="38" spans="1:14" x14ac:dyDescent="0.25">
      <c r="A38" s="18"/>
      <c r="B38" s="63" t="s">
        <v>56</v>
      </c>
      <c r="C38" s="64">
        <v>4</v>
      </c>
      <c r="D38" s="29" t="s">
        <v>40</v>
      </c>
      <c r="E38" s="17" t="s">
        <v>132</v>
      </c>
      <c r="F38" s="7">
        <f>VLOOKUP(E38,'Labor Projections'!A$3:D$12,4,FALSE)</f>
        <v>85</v>
      </c>
      <c r="G38" s="9">
        <f t="shared" si="9"/>
        <v>0</v>
      </c>
      <c r="H38" s="10"/>
      <c r="I38" s="11">
        <f t="shared" si="10"/>
        <v>0</v>
      </c>
      <c r="J38" s="66">
        <f t="shared" si="11"/>
        <v>0</v>
      </c>
      <c r="K38" s="5"/>
    </row>
    <row r="39" spans="1:14" ht="13.8" thickBot="1" x14ac:dyDescent="0.3">
      <c r="A39" s="19"/>
      <c r="B39" s="123" t="s">
        <v>321</v>
      </c>
      <c r="C39" s="124">
        <v>1</v>
      </c>
      <c r="D39" s="129" t="s">
        <v>40</v>
      </c>
      <c r="E39" s="17" t="s">
        <v>132</v>
      </c>
      <c r="F39" s="7">
        <f>VLOOKUP(E39,'Labor Projections'!A$3:D$12,4,FALSE)</f>
        <v>85</v>
      </c>
      <c r="G39" s="9">
        <f t="shared" si="9"/>
        <v>0</v>
      </c>
      <c r="H39" s="10"/>
      <c r="I39" s="11">
        <f t="shared" si="10"/>
        <v>0</v>
      </c>
      <c r="J39" s="66">
        <f t="shared" si="11"/>
        <v>0</v>
      </c>
      <c r="K39" s="5"/>
    </row>
    <row r="40" spans="1:14" ht="13.8" thickBot="1" x14ac:dyDescent="0.3">
      <c r="A40" s="301" t="s">
        <v>116</v>
      </c>
      <c r="B40" s="302" t="s">
        <v>64</v>
      </c>
      <c r="C40" s="303" t="s">
        <v>35</v>
      </c>
      <c r="D40" s="304" t="s">
        <v>36</v>
      </c>
      <c r="E40" s="303" t="s">
        <v>133</v>
      </c>
      <c r="F40" s="305" t="s">
        <v>134</v>
      </c>
      <c r="G40" s="315">
        <f>SUM(G41:G49)</f>
        <v>0</v>
      </c>
      <c r="H40" s="8"/>
      <c r="I40" s="307">
        <f>SUM(I41:I49)</f>
        <v>0</v>
      </c>
      <c r="J40" s="316">
        <f>SUM(J41:J49)</f>
        <v>0</v>
      </c>
      <c r="K40" s="2"/>
      <c r="N40" s="2"/>
    </row>
    <row r="41" spans="1:14" x14ac:dyDescent="0.25">
      <c r="A41" s="20"/>
      <c r="B41" s="126" t="s">
        <v>37</v>
      </c>
      <c r="C41" s="127">
        <v>4</v>
      </c>
      <c r="D41" s="128" t="s">
        <v>40</v>
      </c>
      <c r="E41" s="17" t="s">
        <v>132</v>
      </c>
      <c r="F41" s="7">
        <f>VLOOKUP(E41,'Labor Projections'!A$3:D$12,4,FALSE)</f>
        <v>85</v>
      </c>
      <c r="G41" s="9">
        <f t="shared" ref="G41:G49" si="12">I41*F41</f>
        <v>0</v>
      </c>
      <c r="H41" s="10"/>
      <c r="I41" s="11">
        <f t="shared" ref="I41:I49" si="13">(A41*C41)/60</f>
        <v>0</v>
      </c>
      <c r="J41" s="66">
        <f t="shared" ref="J41:J49" si="14">IF(I41=0,0,I41/I$2)</f>
        <v>0</v>
      </c>
      <c r="K41" s="5"/>
    </row>
    <row r="42" spans="1:14" x14ac:dyDescent="0.25">
      <c r="A42" s="18"/>
      <c r="B42" s="63" t="s">
        <v>39</v>
      </c>
      <c r="C42" s="64">
        <v>4</v>
      </c>
      <c r="D42" s="29" t="s">
        <v>40</v>
      </c>
      <c r="E42" s="17" t="s">
        <v>132</v>
      </c>
      <c r="F42" s="7">
        <f>VLOOKUP(E42,'Labor Projections'!A$3:D$12,4,FALSE)</f>
        <v>85</v>
      </c>
      <c r="G42" s="9">
        <f t="shared" si="12"/>
        <v>0</v>
      </c>
      <c r="H42" s="10"/>
      <c r="I42" s="11">
        <f t="shared" si="13"/>
        <v>0</v>
      </c>
      <c r="J42" s="66">
        <f t="shared" si="14"/>
        <v>0</v>
      </c>
      <c r="K42" s="5"/>
    </row>
    <row r="43" spans="1:14" x14ac:dyDescent="0.25">
      <c r="A43" s="18"/>
      <c r="B43" s="63" t="s">
        <v>65</v>
      </c>
      <c r="C43" s="64">
        <v>20</v>
      </c>
      <c r="D43" s="29" t="s">
        <v>38</v>
      </c>
      <c r="E43" s="17" t="s">
        <v>132</v>
      </c>
      <c r="F43" s="7">
        <f>VLOOKUP(E43,'Labor Projections'!A$3:D$12,4,FALSE)</f>
        <v>85</v>
      </c>
      <c r="G43" s="9">
        <f t="shared" si="12"/>
        <v>0</v>
      </c>
      <c r="H43" s="10"/>
      <c r="I43" s="11">
        <f t="shared" si="13"/>
        <v>0</v>
      </c>
      <c r="J43" s="66">
        <f t="shared" si="14"/>
        <v>0</v>
      </c>
      <c r="K43" s="5"/>
    </row>
    <row r="44" spans="1:14" x14ac:dyDescent="0.25">
      <c r="A44" s="18"/>
      <c r="B44" s="63" t="s">
        <v>66</v>
      </c>
      <c r="C44" s="64">
        <v>10</v>
      </c>
      <c r="D44" s="29" t="s">
        <v>38</v>
      </c>
      <c r="E44" s="17" t="s">
        <v>132</v>
      </c>
      <c r="F44" s="7">
        <f>VLOOKUP(E44,'Labor Projections'!A$3:D$12,4,FALSE)</f>
        <v>85</v>
      </c>
      <c r="G44" s="9">
        <f t="shared" si="12"/>
        <v>0</v>
      </c>
      <c r="H44" s="10"/>
      <c r="I44" s="11">
        <f t="shared" si="13"/>
        <v>0</v>
      </c>
      <c r="J44" s="66">
        <f t="shared" si="14"/>
        <v>0</v>
      </c>
      <c r="K44" s="5"/>
    </row>
    <row r="45" spans="1:14" x14ac:dyDescent="0.25">
      <c r="A45" s="18"/>
      <c r="B45" s="63" t="s">
        <v>104</v>
      </c>
      <c r="C45" s="64">
        <v>4</v>
      </c>
      <c r="D45" s="29" t="s">
        <v>40</v>
      </c>
      <c r="E45" s="17" t="s">
        <v>132</v>
      </c>
      <c r="F45" s="7">
        <f>VLOOKUP(E45,'Labor Projections'!A$3:D$12,4,FALSE)</f>
        <v>85</v>
      </c>
      <c r="G45" s="9">
        <f t="shared" si="12"/>
        <v>0</v>
      </c>
      <c r="H45" s="10"/>
      <c r="I45" s="11">
        <f t="shared" si="13"/>
        <v>0</v>
      </c>
      <c r="J45" s="66">
        <f t="shared" si="14"/>
        <v>0</v>
      </c>
      <c r="K45" s="5"/>
    </row>
    <row r="46" spans="1:14" x14ac:dyDescent="0.25">
      <c r="A46" s="271">
        <f>SUM(A43:A44)*2-A43</f>
        <v>0</v>
      </c>
      <c r="B46" s="63" t="s">
        <v>314</v>
      </c>
      <c r="C46" s="64">
        <v>2</v>
      </c>
      <c r="D46" s="29" t="s">
        <v>38</v>
      </c>
      <c r="E46" s="17" t="s">
        <v>132</v>
      </c>
      <c r="F46" s="7">
        <f>VLOOKUP(E46,'Labor Projections'!A$3:D$12,4,FALSE)</f>
        <v>85</v>
      </c>
      <c r="G46" s="9">
        <f t="shared" si="12"/>
        <v>0</v>
      </c>
      <c r="H46" s="10"/>
      <c r="I46" s="11">
        <f t="shared" si="13"/>
        <v>0</v>
      </c>
      <c r="J46" s="66">
        <f t="shared" si="14"/>
        <v>0</v>
      </c>
      <c r="K46" s="5"/>
    </row>
    <row r="47" spans="1:14" x14ac:dyDescent="0.25">
      <c r="A47" s="18"/>
      <c r="B47" s="63" t="s">
        <v>514</v>
      </c>
      <c r="C47" s="64">
        <v>20</v>
      </c>
      <c r="D47" s="29" t="s">
        <v>38</v>
      </c>
      <c r="E47" s="17" t="s">
        <v>132</v>
      </c>
      <c r="F47" s="7">
        <f>VLOOKUP(E47,'Labor Projections'!A$3:D$12,4,FALSE)</f>
        <v>85</v>
      </c>
      <c r="G47" s="9">
        <f>I47*F47</f>
        <v>0</v>
      </c>
      <c r="H47" s="10"/>
      <c r="I47" s="11">
        <f>(A47*C47)/60</f>
        <v>0</v>
      </c>
      <c r="J47" s="66">
        <f>IF(I47=0,0,I47/I$2)</f>
        <v>0</v>
      </c>
      <c r="K47" s="5"/>
    </row>
    <row r="48" spans="1:14" x14ac:dyDescent="0.25">
      <c r="A48" s="18"/>
      <c r="B48" s="63" t="s">
        <v>497</v>
      </c>
      <c r="C48" s="64">
        <v>240</v>
      </c>
      <c r="D48" s="29" t="s">
        <v>38</v>
      </c>
      <c r="E48" s="17" t="s">
        <v>132</v>
      </c>
      <c r="F48" s="7">
        <f>VLOOKUP(E48,'Labor Projections'!A$3:D$12,4,FALSE)</f>
        <v>85</v>
      </c>
      <c r="G48" s="9">
        <f t="shared" si="12"/>
        <v>0</v>
      </c>
      <c r="H48" s="10"/>
      <c r="I48" s="11">
        <f t="shared" si="13"/>
        <v>0</v>
      </c>
      <c r="J48" s="66">
        <f t="shared" si="14"/>
        <v>0</v>
      </c>
      <c r="K48" s="5"/>
    </row>
    <row r="49" spans="1:14" ht="13.8" thickBot="1" x14ac:dyDescent="0.3">
      <c r="A49" s="268">
        <f>A48+A47</f>
        <v>0</v>
      </c>
      <c r="B49" s="63" t="s">
        <v>315</v>
      </c>
      <c r="C49" s="64">
        <v>2</v>
      </c>
      <c r="D49" s="29" t="s">
        <v>38</v>
      </c>
      <c r="E49" s="17" t="s">
        <v>132</v>
      </c>
      <c r="F49" s="7">
        <f>VLOOKUP(E49,'Labor Projections'!A$3:D$12,4,FALSE)</f>
        <v>85</v>
      </c>
      <c r="G49" s="9">
        <f t="shared" si="12"/>
        <v>0</v>
      </c>
      <c r="H49" s="10"/>
      <c r="I49" s="11">
        <f t="shared" si="13"/>
        <v>0</v>
      </c>
      <c r="J49" s="66">
        <f t="shared" si="14"/>
        <v>0</v>
      </c>
      <c r="K49" s="5"/>
    </row>
    <row r="50" spans="1:14" ht="13.8" thickBot="1" x14ac:dyDescent="0.3">
      <c r="A50" s="301" t="s">
        <v>116</v>
      </c>
      <c r="B50" s="302" t="s">
        <v>67</v>
      </c>
      <c r="C50" s="303" t="s">
        <v>35</v>
      </c>
      <c r="D50" s="304" t="s">
        <v>36</v>
      </c>
      <c r="E50" s="303" t="s">
        <v>133</v>
      </c>
      <c r="F50" s="305" t="s">
        <v>134</v>
      </c>
      <c r="G50" s="315">
        <f>SUM(G51:G67)</f>
        <v>0</v>
      </c>
      <c r="H50" s="8"/>
      <c r="I50" s="307">
        <f>SUM(I51:I67)</f>
        <v>0</v>
      </c>
      <c r="J50" s="316">
        <f>SUM(J51:J67)</f>
        <v>0</v>
      </c>
      <c r="K50" s="2"/>
      <c r="N50" s="2"/>
    </row>
    <row r="51" spans="1:14" x14ac:dyDescent="0.25">
      <c r="A51" s="20"/>
      <c r="B51" s="126" t="s">
        <v>68</v>
      </c>
      <c r="C51" s="127">
        <v>30</v>
      </c>
      <c r="D51" s="128" t="s">
        <v>38</v>
      </c>
      <c r="E51" s="17" t="s">
        <v>132</v>
      </c>
      <c r="F51" s="7">
        <f>VLOOKUP(E51,'Labor Projections'!A$3:D$12,4,FALSE)</f>
        <v>85</v>
      </c>
      <c r="G51" s="9">
        <f t="shared" ref="G51:G67" si="15">I51*F51</f>
        <v>0</v>
      </c>
      <c r="H51" s="10"/>
      <c r="I51" s="11">
        <f t="shared" ref="I51:I67" si="16">(A51*C51)/60</f>
        <v>0</v>
      </c>
      <c r="J51" s="66">
        <f t="shared" ref="J51:J67" si="17">IF(I51=0,0,I51/I$2)</f>
        <v>0</v>
      </c>
      <c r="K51" s="5"/>
    </row>
    <row r="52" spans="1:14" x14ac:dyDescent="0.25">
      <c r="A52" s="18"/>
      <c r="B52" s="63" t="s">
        <v>69</v>
      </c>
      <c r="C52" s="64">
        <v>60</v>
      </c>
      <c r="D52" s="29" t="s">
        <v>38</v>
      </c>
      <c r="E52" s="17" t="s">
        <v>132</v>
      </c>
      <c r="F52" s="7">
        <f>VLOOKUP(E52,'Labor Projections'!A$3:D$12,4,FALSE)</f>
        <v>85</v>
      </c>
      <c r="G52" s="9">
        <f t="shared" si="15"/>
        <v>0</v>
      </c>
      <c r="H52" s="10"/>
      <c r="I52" s="11">
        <f t="shared" si="16"/>
        <v>0</v>
      </c>
      <c r="J52" s="66">
        <f t="shared" si="17"/>
        <v>0</v>
      </c>
      <c r="K52" s="5"/>
    </row>
    <row r="53" spans="1:14" x14ac:dyDescent="0.25">
      <c r="A53" s="18"/>
      <c r="B53" s="63" t="s">
        <v>70</v>
      </c>
      <c r="C53" s="64">
        <v>60</v>
      </c>
      <c r="D53" s="29" t="s">
        <v>38</v>
      </c>
      <c r="E53" s="17" t="s">
        <v>132</v>
      </c>
      <c r="F53" s="7">
        <f>VLOOKUP(E53,'Labor Projections'!A$3:D$12,4,FALSE)</f>
        <v>85</v>
      </c>
      <c r="G53" s="9">
        <f t="shared" si="15"/>
        <v>0</v>
      </c>
      <c r="H53" s="10"/>
      <c r="I53" s="11">
        <f t="shared" si="16"/>
        <v>0</v>
      </c>
      <c r="J53" s="66">
        <f t="shared" si="17"/>
        <v>0</v>
      </c>
      <c r="K53" s="5"/>
    </row>
    <row r="54" spans="1:14" x14ac:dyDescent="0.25">
      <c r="A54" s="18"/>
      <c r="B54" s="63" t="s">
        <v>71</v>
      </c>
      <c r="C54" s="64">
        <v>60</v>
      </c>
      <c r="D54" s="29" t="s">
        <v>38</v>
      </c>
      <c r="E54" s="17" t="s">
        <v>132</v>
      </c>
      <c r="F54" s="7">
        <f>VLOOKUP(E54,'Labor Projections'!A$3:D$12,4,FALSE)</f>
        <v>85</v>
      </c>
      <c r="G54" s="9">
        <f t="shared" si="15"/>
        <v>0</v>
      </c>
      <c r="H54" s="10"/>
      <c r="I54" s="11">
        <f t="shared" si="16"/>
        <v>0</v>
      </c>
      <c r="J54" s="66">
        <f t="shared" si="17"/>
        <v>0</v>
      </c>
      <c r="K54" s="5"/>
    </row>
    <row r="55" spans="1:14" x14ac:dyDescent="0.25">
      <c r="A55" s="18"/>
      <c r="B55" s="63" t="s">
        <v>72</v>
      </c>
      <c r="C55" s="64">
        <v>240</v>
      </c>
      <c r="D55" s="29" t="s">
        <v>38</v>
      </c>
      <c r="E55" s="17" t="s">
        <v>132</v>
      </c>
      <c r="F55" s="7">
        <f>VLOOKUP(E55,'Labor Projections'!A$3:D$12,4,FALSE)</f>
        <v>85</v>
      </c>
      <c r="G55" s="9">
        <f t="shared" si="15"/>
        <v>0</v>
      </c>
      <c r="H55" s="10"/>
      <c r="I55" s="11">
        <f t="shared" si="16"/>
        <v>0</v>
      </c>
      <c r="J55" s="66">
        <f t="shared" si="17"/>
        <v>0</v>
      </c>
      <c r="K55" s="5"/>
    </row>
    <row r="56" spans="1:14" x14ac:dyDescent="0.25">
      <c r="A56" s="18"/>
      <c r="B56" s="63" t="s">
        <v>362</v>
      </c>
      <c r="C56" s="64">
        <v>300</v>
      </c>
      <c r="D56" s="29" t="s">
        <v>38</v>
      </c>
      <c r="E56" s="17" t="s">
        <v>132</v>
      </c>
      <c r="F56" s="7">
        <f>VLOOKUP(E56,'Labor Projections'!A$3:D$12,4,FALSE)</f>
        <v>85</v>
      </c>
      <c r="G56" s="9">
        <f t="shared" si="15"/>
        <v>0</v>
      </c>
      <c r="H56" s="10"/>
      <c r="I56" s="11">
        <f t="shared" si="16"/>
        <v>0</v>
      </c>
      <c r="J56" s="66">
        <f t="shared" si="17"/>
        <v>0</v>
      </c>
      <c r="K56" s="5"/>
    </row>
    <row r="57" spans="1:14" x14ac:dyDescent="0.25">
      <c r="A57" s="18"/>
      <c r="B57" s="63" t="s">
        <v>358</v>
      </c>
      <c r="C57" s="64">
        <v>300</v>
      </c>
      <c r="D57" s="29" t="s">
        <v>38</v>
      </c>
      <c r="E57" s="17" t="s">
        <v>132</v>
      </c>
      <c r="F57" s="7">
        <f>VLOOKUP(E57,'Labor Projections'!A$3:D$12,4,FALSE)</f>
        <v>85</v>
      </c>
      <c r="G57" s="9">
        <f t="shared" si="15"/>
        <v>0</v>
      </c>
      <c r="H57" s="10"/>
      <c r="I57" s="11">
        <f t="shared" si="16"/>
        <v>0</v>
      </c>
      <c r="J57" s="66">
        <f t="shared" si="17"/>
        <v>0</v>
      </c>
      <c r="K57" s="5"/>
    </row>
    <row r="58" spans="1:14" x14ac:dyDescent="0.25">
      <c r="A58" s="18"/>
      <c r="B58" s="63" t="s">
        <v>74</v>
      </c>
      <c r="C58" s="64">
        <v>90</v>
      </c>
      <c r="D58" s="29" t="s">
        <v>40</v>
      </c>
      <c r="E58" s="17" t="s">
        <v>132</v>
      </c>
      <c r="F58" s="7">
        <f>VLOOKUP(E58,'Labor Projections'!A$3:D$12,4,FALSE)</f>
        <v>85</v>
      </c>
      <c r="G58" s="9">
        <f t="shared" si="15"/>
        <v>0</v>
      </c>
      <c r="H58" s="10"/>
      <c r="I58" s="11">
        <f t="shared" si="16"/>
        <v>0</v>
      </c>
      <c r="J58" s="66">
        <f t="shared" si="17"/>
        <v>0</v>
      </c>
      <c r="K58" s="5"/>
    </row>
    <row r="59" spans="1:14" x14ac:dyDescent="0.25">
      <c r="A59" s="18"/>
      <c r="B59" s="63" t="s">
        <v>75</v>
      </c>
      <c r="C59" s="64">
        <v>30</v>
      </c>
      <c r="D59" s="29" t="s">
        <v>38</v>
      </c>
      <c r="E59" s="17" t="s">
        <v>132</v>
      </c>
      <c r="F59" s="7">
        <f>VLOOKUP(E59,'Labor Projections'!A$3:D$12,4,FALSE)</f>
        <v>85</v>
      </c>
      <c r="G59" s="9">
        <f t="shared" si="15"/>
        <v>0</v>
      </c>
      <c r="H59" s="10"/>
      <c r="I59" s="11">
        <f t="shared" si="16"/>
        <v>0</v>
      </c>
      <c r="J59" s="66">
        <f t="shared" si="17"/>
        <v>0</v>
      </c>
      <c r="K59" s="5"/>
    </row>
    <row r="60" spans="1:14" x14ac:dyDescent="0.25">
      <c r="A60" s="18"/>
      <c r="B60" s="63" t="s">
        <v>76</v>
      </c>
      <c r="C60" s="64">
        <v>60</v>
      </c>
      <c r="D60" s="29" t="s">
        <v>38</v>
      </c>
      <c r="E60" s="17" t="s">
        <v>132</v>
      </c>
      <c r="F60" s="7">
        <f>VLOOKUP(E60,'Labor Projections'!A$3:D$12,4,FALSE)</f>
        <v>85</v>
      </c>
      <c r="G60" s="9">
        <f t="shared" si="15"/>
        <v>0</v>
      </c>
      <c r="H60" s="10"/>
      <c r="I60" s="11">
        <f t="shared" si="16"/>
        <v>0</v>
      </c>
      <c r="J60" s="66">
        <f t="shared" si="17"/>
        <v>0</v>
      </c>
      <c r="K60" s="5"/>
    </row>
    <row r="61" spans="1:14" x14ac:dyDescent="0.25">
      <c r="A61" s="18"/>
      <c r="B61" s="63" t="s">
        <v>42</v>
      </c>
      <c r="C61" s="64">
        <v>180</v>
      </c>
      <c r="D61" s="29" t="s">
        <v>38</v>
      </c>
      <c r="E61" s="17" t="s">
        <v>132</v>
      </c>
      <c r="F61" s="7">
        <f>VLOOKUP(E61,'Labor Projections'!A$3:D$12,4,FALSE)</f>
        <v>85</v>
      </c>
      <c r="G61" s="9">
        <f t="shared" si="15"/>
        <v>0</v>
      </c>
      <c r="H61" s="10"/>
      <c r="I61" s="11">
        <f t="shared" si="16"/>
        <v>0</v>
      </c>
      <c r="J61" s="66">
        <f t="shared" si="17"/>
        <v>0</v>
      </c>
      <c r="K61" s="5"/>
    </row>
    <row r="62" spans="1:14" x14ac:dyDescent="0.25">
      <c r="A62" s="18"/>
      <c r="B62" s="63" t="s">
        <v>77</v>
      </c>
      <c r="C62" s="64">
        <v>10</v>
      </c>
      <c r="D62" s="29" t="s">
        <v>38</v>
      </c>
      <c r="E62" s="17" t="s">
        <v>132</v>
      </c>
      <c r="F62" s="7">
        <f>VLOOKUP(E62,'Labor Projections'!A$3:D$12,4,FALSE)</f>
        <v>85</v>
      </c>
      <c r="G62" s="9">
        <f t="shared" si="15"/>
        <v>0</v>
      </c>
      <c r="H62" s="10"/>
      <c r="I62" s="11">
        <f t="shared" si="16"/>
        <v>0</v>
      </c>
      <c r="J62" s="66">
        <f t="shared" si="17"/>
        <v>0</v>
      </c>
      <c r="K62" s="5"/>
    </row>
    <row r="63" spans="1:14" x14ac:dyDescent="0.25">
      <c r="A63" s="18"/>
      <c r="B63" s="63" t="s">
        <v>117</v>
      </c>
      <c r="C63" s="64">
        <v>120</v>
      </c>
      <c r="D63" s="29" t="s">
        <v>38</v>
      </c>
      <c r="E63" s="17" t="s">
        <v>132</v>
      </c>
      <c r="F63" s="7">
        <f>VLOOKUP(E63,'Labor Projections'!A$3:D$12,4,FALSE)</f>
        <v>85</v>
      </c>
      <c r="G63" s="9">
        <f t="shared" si="15"/>
        <v>0</v>
      </c>
      <c r="H63" s="10"/>
      <c r="I63" s="11">
        <f t="shared" si="16"/>
        <v>0</v>
      </c>
      <c r="J63" s="66">
        <f t="shared" si="17"/>
        <v>0</v>
      </c>
      <c r="K63" s="5"/>
    </row>
    <row r="64" spans="1:14" x14ac:dyDescent="0.25">
      <c r="A64" s="18"/>
      <c r="B64" s="63" t="s">
        <v>320</v>
      </c>
      <c r="C64" s="64">
        <v>60</v>
      </c>
      <c r="D64" s="29" t="s">
        <v>38</v>
      </c>
      <c r="E64" s="17" t="s">
        <v>132</v>
      </c>
      <c r="F64" s="7">
        <f>VLOOKUP(E64,'Labor Projections'!A$3:D$12,4,FALSE)</f>
        <v>85</v>
      </c>
      <c r="G64" s="9">
        <f t="shared" si="15"/>
        <v>0</v>
      </c>
      <c r="H64" s="10"/>
      <c r="I64" s="11">
        <f t="shared" si="16"/>
        <v>0</v>
      </c>
      <c r="J64" s="66">
        <f t="shared" si="17"/>
        <v>0</v>
      </c>
      <c r="K64" s="5"/>
    </row>
    <row r="65" spans="1:14" x14ac:dyDescent="0.25">
      <c r="A65" s="18"/>
      <c r="B65" s="63" t="s">
        <v>78</v>
      </c>
      <c r="C65" s="64">
        <v>25</v>
      </c>
      <c r="D65" s="29" t="s">
        <v>38</v>
      </c>
      <c r="E65" s="17" t="s">
        <v>132</v>
      </c>
      <c r="F65" s="7">
        <f>VLOOKUP(E65,'Labor Projections'!A$3:D$12,4,FALSE)</f>
        <v>85</v>
      </c>
      <c r="G65" s="9">
        <f t="shared" si="15"/>
        <v>0</v>
      </c>
      <c r="H65" s="10"/>
      <c r="I65" s="11">
        <f t="shared" si="16"/>
        <v>0</v>
      </c>
      <c r="J65" s="66">
        <f t="shared" si="17"/>
        <v>0</v>
      </c>
      <c r="K65" s="5"/>
    </row>
    <row r="66" spans="1:14" x14ac:dyDescent="0.25">
      <c r="A66" s="19"/>
      <c r="B66" s="123" t="s">
        <v>79</v>
      </c>
      <c r="C66" s="124">
        <v>60</v>
      </c>
      <c r="D66" s="129" t="s">
        <v>38</v>
      </c>
      <c r="E66" s="17" t="s">
        <v>132</v>
      </c>
      <c r="F66" s="7">
        <f>VLOOKUP(E66,'Labor Projections'!A$3:D$12,4,FALSE)</f>
        <v>85</v>
      </c>
      <c r="G66" s="9">
        <f t="shared" si="15"/>
        <v>0</v>
      </c>
      <c r="H66" s="10"/>
      <c r="I66" s="11">
        <f t="shared" si="16"/>
        <v>0</v>
      </c>
      <c r="J66" s="66">
        <f t="shared" si="17"/>
        <v>0</v>
      </c>
      <c r="K66" s="5"/>
    </row>
    <row r="67" spans="1:14" ht="13.8" thickBot="1" x14ac:dyDescent="0.3">
      <c r="A67" s="268">
        <f>SUM(A65,A64,A63,A62,A56,A57)</f>
        <v>0</v>
      </c>
      <c r="B67" s="63" t="s">
        <v>316</v>
      </c>
      <c r="C67" s="64">
        <v>2</v>
      </c>
      <c r="D67" s="29" t="s">
        <v>38</v>
      </c>
      <c r="E67" s="17" t="s">
        <v>132</v>
      </c>
      <c r="F67" s="7">
        <f>VLOOKUP(E67,'Labor Projections'!A$3:D$12,4,FALSE)</f>
        <v>85</v>
      </c>
      <c r="G67" s="9">
        <f t="shared" si="15"/>
        <v>0</v>
      </c>
      <c r="H67" s="10"/>
      <c r="I67" s="11">
        <f t="shared" si="16"/>
        <v>0</v>
      </c>
      <c r="J67" s="66">
        <f t="shared" si="17"/>
        <v>0</v>
      </c>
      <c r="K67" s="5"/>
    </row>
    <row r="68" spans="1:14" ht="13.8" thickBot="1" x14ac:dyDescent="0.3">
      <c r="A68" s="301" t="s">
        <v>116</v>
      </c>
      <c r="B68" s="302" t="s">
        <v>80</v>
      </c>
      <c r="C68" s="303" t="s">
        <v>35</v>
      </c>
      <c r="D68" s="304" t="s">
        <v>36</v>
      </c>
      <c r="E68" s="303" t="s">
        <v>133</v>
      </c>
      <c r="F68" s="305" t="s">
        <v>134</v>
      </c>
      <c r="G68" s="315">
        <f>SUM(G69:G83)</f>
        <v>0</v>
      </c>
      <c r="H68" s="8"/>
      <c r="I68" s="307">
        <f>SUM(I69:I83)</f>
        <v>0</v>
      </c>
      <c r="J68" s="316">
        <f>SUM(J69:J83)</f>
        <v>0</v>
      </c>
      <c r="K68" s="2"/>
      <c r="N68" s="2"/>
    </row>
    <row r="69" spans="1:14" x14ac:dyDescent="0.25">
      <c r="A69" s="20"/>
      <c r="B69" s="126" t="s">
        <v>81</v>
      </c>
      <c r="C69" s="127">
        <v>120</v>
      </c>
      <c r="D69" s="128" t="s">
        <v>38</v>
      </c>
      <c r="E69" s="17" t="s">
        <v>132</v>
      </c>
      <c r="F69" s="7">
        <f>VLOOKUP(E69,'Labor Projections'!A$3:D$12,4,FALSE)</f>
        <v>85</v>
      </c>
      <c r="G69" s="9">
        <f t="shared" ref="G69:G83" si="18">I69*F69</f>
        <v>0</v>
      </c>
      <c r="H69" s="10"/>
      <c r="I69" s="11">
        <f t="shared" ref="I69:I83" si="19">(A69*C69)/60</f>
        <v>0</v>
      </c>
      <c r="J69" s="66">
        <f t="shared" ref="J69:J83" si="20">IF(I69=0,0,I69/I$2)</f>
        <v>0</v>
      </c>
      <c r="K69" s="5"/>
    </row>
    <row r="70" spans="1:14" x14ac:dyDescent="0.25">
      <c r="A70" s="18"/>
      <c r="B70" s="63" t="s">
        <v>322</v>
      </c>
      <c r="C70" s="64">
        <v>60</v>
      </c>
      <c r="D70" s="29" t="s">
        <v>38</v>
      </c>
      <c r="E70" s="17" t="s">
        <v>132</v>
      </c>
      <c r="F70" s="7">
        <f>VLOOKUP(E70,'Labor Projections'!A$3:D$12,4,FALSE)</f>
        <v>85</v>
      </c>
      <c r="G70" s="9">
        <f t="shared" si="18"/>
        <v>0</v>
      </c>
      <c r="H70" s="10"/>
      <c r="I70" s="11">
        <f t="shared" si="19"/>
        <v>0</v>
      </c>
      <c r="J70" s="66">
        <f t="shared" si="20"/>
        <v>0</v>
      </c>
      <c r="K70" s="5"/>
    </row>
    <row r="71" spans="1:14" x14ac:dyDescent="0.25">
      <c r="A71" s="268">
        <f>SUM(A83,A72,A73,A75,A76,A77,A78,A79,A82,A70)</f>
        <v>0</v>
      </c>
      <c r="B71" s="63" t="s">
        <v>317</v>
      </c>
      <c r="C71" s="64">
        <v>2</v>
      </c>
      <c r="D71" s="29" t="s">
        <v>38</v>
      </c>
      <c r="E71" s="17" t="s">
        <v>132</v>
      </c>
      <c r="F71" s="7">
        <f>VLOOKUP(E71,'Labor Projections'!A$3:D$12,4,FALSE)</f>
        <v>85</v>
      </c>
      <c r="G71" s="9">
        <f t="shared" si="18"/>
        <v>0</v>
      </c>
      <c r="H71" s="10"/>
      <c r="I71" s="11">
        <f t="shared" si="19"/>
        <v>0</v>
      </c>
      <c r="J71" s="66">
        <f t="shared" si="20"/>
        <v>0</v>
      </c>
      <c r="K71" s="5"/>
    </row>
    <row r="72" spans="1:14" x14ac:dyDescent="0.25">
      <c r="A72" s="18"/>
      <c r="B72" s="63" t="s">
        <v>82</v>
      </c>
      <c r="C72" s="64">
        <v>20</v>
      </c>
      <c r="D72" s="29" t="s">
        <v>38</v>
      </c>
      <c r="E72" s="17" t="s">
        <v>132</v>
      </c>
      <c r="F72" s="7">
        <f>VLOOKUP(E72,'Labor Projections'!A$3:D$12,4,FALSE)</f>
        <v>85</v>
      </c>
      <c r="G72" s="9">
        <f t="shared" si="18"/>
        <v>0</v>
      </c>
      <c r="H72" s="10"/>
      <c r="I72" s="11">
        <f t="shared" si="19"/>
        <v>0</v>
      </c>
      <c r="J72" s="66">
        <f t="shared" si="20"/>
        <v>0</v>
      </c>
      <c r="K72" s="5"/>
    </row>
    <row r="73" spans="1:14" x14ac:dyDescent="0.25">
      <c r="A73" s="18"/>
      <c r="B73" s="63" t="s">
        <v>83</v>
      </c>
      <c r="C73" s="64">
        <v>480</v>
      </c>
      <c r="D73" s="29" t="s">
        <v>38</v>
      </c>
      <c r="E73" s="17" t="s">
        <v>132</v>
      </c>
      <c r="F73" s="7">
        <f>VLOOKUP(E73,'Labor Projections'!A$3:D$12,4,FALSE)</f>
        <v>85</v>
      </c>
      <c r="G73" s="9">
        <f t="shared" si="18"/>
        <v>0</v>
      </c>
      <c r="H73" s="10"/>
      <c r="I73" s="11">
        <f t="shared" si="19"/>
        <v>0</v>
      </c>
      <c r="J73" s="66">
        <f t="shared" si="20"/>
        <v>0</v>
      </c>
      <c r="K73" s="5"/>
    </row>
    <row r="74" spans="1:14" x14ac:dyDescent="0.25">
      <c r="A74" s="18"/>
      <c r="B74" s="63" t="s">
        <v>84</v>
      </c>
      <c r="C74" s="64">
        <v>2</v>
      </c>
      <c r="D74" s="29" t="s">
        <v>38</v>
      </c>
      <c r="E74" s="17" t="s">
        <v>132</v>
      </c>
      <c r="F74" s="7">
        <f>VLOOKUP(E74,'Labor Projections'!A$3:D$12,4,FALSE)</f>
        <v>85</v>
      </c>
      <c r="G74" s="9">
        <f t="shared" si="18"/>
        <v>0</v>
      </c>
      <c r="H74" s="10"/>
      <c r="I74" s="11">
        <f t="shared" si="19"/>
        <v>0</v>
      </c>
      <c r="J74" s="66">
        <f t="shared" si="20"/>
        <v>0</v>
      </c>
      <c r="K74" s="5"/>
    </row>
    <row r="75" spans="1:14" x14ac:dyDescent="0.25">
      <c r="A75" s="18"/>
      <c r="B75" s="63" t="s">
        <v>85</v>
      </c>
      <c r="C75" s="64">
        <v>520</v>
      </c>
      <c r="D75" s="29" t="s">
        <v>38</v>
      </c>
      <c r="E75" s="17" t="s">
        <v>132</v>
      </c>
      <c r="F75" s="7">
        <f>VLOOKUP(E75,'Labor Projections'!A$3:D$12,4,FALSE)</f>
        <v>85</v>
      </c>
      <c r="G75" s="9">
        <f t="shared" si="18"/>
        <v>0</v>
      </c>
      <c r="H75" s="10"/>
      <c r="I75" s="11">
        <f t="shared" si="19"/>
        <v>0</v>
      </c>
      <c r="J75" s="66">
        <f t="shared" si="20"/>
        <v>0</v>
      </c>
      <c r="K75" s="5"/>
    </row>
    <row r="76" spans="1:14" x14ac:dyDescent="0.25">
      <c r="A76" s="18"/>
      <c r="B76" s="63" t="s">
        <v>86</v>
      </c>
      <c r="C76" s="64">
        <v>10</v>
      </c>
      <c r="D76" s="29" t="s">
        <v>38</v>
      </c>
      <c r="E76" s="17" t="s">
        <v>132</v>
      </c>
      <c r="F76" s="7">
        <f>VLOOKUP(E76,'Labor Projections'!A$3:D$12,4,FALSE)</f>
        <v>85</v>
      </c>
      <c r="G76" s="9">
        <f t="shared" si="18"/>
        <v>0</v>
      </c>
      <c r="H76" s="10"/>
      <c r="I76" s="11">
        <f t="shared" si="19"/>
        <v>0</v>
      </c>
      <c r="J76" s="66">
        <f t="shared" si="20"/>
        <v>0</v>
      </c>
      <c r="K76" s="5"/>
    </row>
    <row r="77" spans="1:14" x14ac:dyDescent="0.25">
      <c r="A77" s="18"/>
      <c r="B77" s="63" t="s">
        <v>87</v>
      </c>
      <c r="C77" s="64">
        <v>60</v>
      </c>
      <c r="D77" s="29" t="s">
        <v>38</v>
      </c>
      <c r="E77" s="17" t="s">
        <v>132</v>
      </c>
      <c r="F77" s="7">
        <f>VLOOKUP(E77,'Labor Projections'!A$3:D$12,4,FALSE)</f>
        <v>85</v>
      </c>
      <c r="G77" s="9">
        <f t="shared" si="18"/>
        <v>0</v>
      </c>
      <c r="H77" s="10"/>
      <c r="I77" s="11">
        <f t="shared" si="19"/>
        <v>0</v>
      </c>
      <c r="J77" s="66">
        <f t="shared" si="20"/>
        <v>0</v>
      </c>
      <c r="K77" s="5"/>
    </row>
    <row r="78" spans="1:14" x14ac:dyDescent="0.25">
      <c r="A78" s="18"/>
      <c r="B78" s="63" t="s">
        <v>88</v>
      </c>
      <c r="C78" s="64">
        <v>10</v>
      </c>
      <c r="D78" s="29" t="s">
        <v>38</v>
      </c>
      <c r="E78" s="17" t="s">
        <v>132</v>
      </c>
      <c r="F78" s="7">
        <f>VLOOKUP(E78,'Labor Projections'!A$3:D$12,4,FALSE)</f>
        <v>85</v>
      </c>
      <c r="G78" s="9">
        <f t="shared" si="18"/>
        <v>0</v>
      </c>
      <c r="H78" s="10"/>
      <c r="I78" s="11">
        <f t="shared" si="19"/>
        <v>0</v>
      </c>
      <c r="J78" s="66">
        <f t="shared" si="20"/>
        <v>0</v>
      </c>
      <c r="K78" s="5"/>
    </row>
    <row r="79" spans="1:14" x14ac:dyDescent="0.25">
      <c r="A79" s="18"/>
      <c r="B79" s="63" t="s">
        <v>89</v>
      </c>
      <c r="C79" s="64">
        <v>360</v>
      </c>
      <c r="D79" s="29" t="s">
        <v>38</v>
      </c>
      <c r="E79" s="17" t="s">
        <v>132</v>
      </c>
      <c r="F79" s="7">
        <f>VLOOKUP(E79,'Labor Projections'!A$3:D$12,4,FALSE)</f>
        <v>85</v>
      </c>
      <c r="G79" s="9">
        <f t="shared" si="18"/>
        <v>0</v>
      </c>
      <c r="H79" s="10"/>
      <c r="I79" s="11">
        <f t="shared" si="19"/>
        <v>0</v>
      </c>
      <c r="J79" s="66">
        <f t="shared" si="20"/>
        <v>0</v>
      </c>
      <c r="K79" s="5"/>
    </row>
    <row r="80" spans="1:14" x14ac:dyDescent="0.25">
      <c r="A80" s="18"/>
      <c r="B80" s="63" t="s">
        <v>118</v>
      </c>
      <c r="C80" s="64">
        <v>360</v>
      </c>
      <c r="D80" s="29" t="s">
        <v>38</v>
      </c>
      <c r="E80" s="17" t="s">
        <v>132</v>
      </c>
      <c r="F80" s="7">
        <f>VLOOKUP(E80,'Labor Projections'!A$3:D$12,4,FALSE)</f>
        <v>85</v>
      </c>
      <c r="G80" s="9">
        <f t="shared" si="18"/>
        <v>0</v>
      </c>
      <c r="H80" s="10"/>
      <c r="I80" s="11">
        <f t="shared" si="19"/>
        <v>0</v>
      </c>
      <c r="J80" s="66">
        <f t="shared" si="20"/>
        <v>0</v>
      </c>
      <c r="K80" s="5"/>
    </row>
    <row r="81" spans="1:14" x14ac:dyDescent="0.25">
      <c r="A81" s="18"/>
      <c r="B81" s="63" t="s">
        <v>90</v>
      </c>
      <c r="C81" s="64">
        <v>360</v>
      </c>
      <c r="D81" s="29" t="s">
        <v>38</v>
      </c>
      <c r="E81" s="17" t="s">
        <v>132</v>
      </c>
      <c r="F81" s="7">
        <f>VLOOKUP(E81,'Labor Projections'!A$3:D$12,4,FALSE)</f>
        <v>85</v>
      </c>
      <c r="G81" s="9">
        <f t="shared" si="18"/>
        <v>0</v>
      </c>
      <c r="H81" s="10"/>
      <c r="I81" s="11">
        <f t="shared" si="19"/>
        <v>0</v>
      </c>
      <c r="J81" s="66">
        <f t="shared" si="20"/>
        <v>0</v>
      </c>
      <c r="K81" s="5"/>
    </row>
    <row r="82" spans="1:14" ht="13.8" thickBot="1" x14ac:dyDescent="0.3">
      <c r="A82" s="18"/>
      <c r="B82" s="63" t="s">
        <v>515</v>
      </c>
      <c r="C82" s="64">
        <v>240</v>
      </c>
      <c r="D82" s="29" t="s">
        <v>38</v>
      </c>
      <c r="E82" s="17" t="s">
        <v>132</v>
      </c>
      <c r="F82" s="7">
        <f>VLOOKUP(E82,'Labor Projections'!A$3:D$12,4,FALSE)</f>
        <v>85</v>
      </c>
      <c r="G82" s="9">
        <f t="shared" si="18"/>
        <v>0</v>
      </c>
      <c r="H82" s="10"/>
      <c r="I82" s="11">
        <f t="shared" si="19"/>
        <v>0</v>
      </c>
      <c r="J82" s="66">
        <f t="shared" si="20"/>
        <v>0</v>
      </c>
      <c r="K82" s="5"/>
    </row>
    <row r="83" spans="1:14" ht="13.8" thickBot="1" x14ac:dyDescent="0.3">
      <c r="A83" s="19"/>
      <c r="B83" s="123" t="s">
        <v>91</v>
      </c>
      <c r="C83" s="124">
        <v>15</v>
      </c>
      <c r="D83" s="129" t="s">
        <v>38</v>
      </c>
      <c r="E83" s="17" t="s">
        <v>132</v>
      </c>
      <c r="F83" s="7">
        <f>VLOOKUP(E83,'Labor Projections'!A$3:D$12,4,FALSE)</f>
        <v>85</v>
      </c>
      <c r="G83" s="9">
        <f t="shared" si="18"/>
        <v>0</v>
      </c>
      <c r="H83" s="10"/>
      <c r="I83" s="11">
        <f t="shared" si="19"/>
        <v>0</v>
      </c>
      <c r="J83" s="66">
        <f t="shared" si="20"/>
        <v>0</v>
      </c>
      <c r="K83" s="5"/>
    </row>
    <row r="84" spans="1:14" ht="13.8" thickBot="1" x14ac:dyDescent="0.3">
      <c r="A84" s="301" t="s">
        <v>116</v>
      </c>
      <c r="B84" s="302" t="s">
        <v>92</v>
      </c>
      <c r="C84" s="303" t="s">
        <v>35</v>
      </c>
      <c r="D84" s="304" t="s">
        <v>36</v>
      </c>
      <c r="E84" s="303" t="s">
        <v>133</v>
      </c>
      <c r="F84" s="305" t="s">
        <v>134</v>
      </c>
      <c r="G84" s="315">
        <f>SUM(G85:G92)</f>
        <v>0</v>
      </c>
      <c r="H84" s="8"/>
      <c r="I84" s="307">
        <f>SUM(I85:I92)</f>
        <v>0</v>
      </c>
      <c r="J84" s="316">
        <f>SUM(J85:J92)</f>
        <v>0</v>
      </c>
      <c r="K84" s="2"/>
      <c r="N84" s="2"/>
    </row>
    <row r="85" spans="1:14" x14ac:dyDescent="0.25">
      <c r="A85" s="20"/>
      <c r="B85" s="126" t="s">
        <v>318</v>
      </c>
      <c r="C85" s="127">
        <v>180</v>
      </c>
      <c r="D85" s="128" t="s">
        <v>38</v>
      </c>
      <c r="E85" s="17" t="s">
        <v>132</v>
      </c>
      <c r="F85" s="7">
        <f>VLOOKUP(E85,'Labor Projections'!A$3:D$12,4,FALSE)</f>
        <v>85</v>
      </c>
      <c r="G85" s="9">
        <f t="shared" ref="G85:G92" si="21">I85*F85</f>
        <v>0</v>
      </c>
      <c r="H85" s="10"/>
      <c r="I85" s="11">
        <f t="shared" ref="I85:I92" si="22">(A85*C85)/60</f>
        <v>0</v>
      </c>
      <c r="J85" s="66">
        <f t="shared" ref="J85:J92" si="23">IF(I85=0,0,I85/I$2)</f>
        <v>0</v>
      </c>
      <c r="K85" s="5"/>
    </row>
    <row r="86" spans="1:14" x14ac:dyDescent="0.25">
      <c r="A86" s="18"/>
      <c r="B86" s="63" t="s">
        <v>319</v>
      </c>
      <c r="C86" s="64">
        <v>180</v>
      </c>
      <c r="D86" s="29" t="s">
        <v>38</v>
      </c>
      <c r="E86" s="17" t="s">
        <v>132</v>
      </c>
      <c r="F86" s="7">
        <f>VLOOKUP(E86,'Labor Projections'!A$3:D$12,4,FALSE)</f>
        <v>85</v>
      </c>
      <c r="G86" s="9">
        <f t="shared" si="21"/>
        <v>0</v>
      </c>
      <c r="H86" s="10"/>
      <c r="I86" s="11">
        <f t="shared" si="22"/>
        <v>0</v>
      </c>
      <c r="J86" s="66">
        <f t="shared" si="23"/>
        <v>0</v>
      </c>
      <c r="K86" s="5"/>
    </row>
    <row r="87" spans="1:14" x14ac:dyDescent="0.25">
      <c r="A87" s="18"/>
      <c r="B87" s="63" t="s">
        <v>73</v>
      </c>
      <c r="C87" s="64">
        <v>180</v>
      </c>
      <c r="D87" s="29" t="s">
        <v>38</v>
      </c>
      <c r="E87" s="17" t="s">
        <v>132</v>
      </c>
      <c r="F87" s="7">
        <f>VLOOKUP(E87,'Labor Projections'!A$3:D$12,4,FALSE)</f>
        <v>85</v>
      </c>
      <c r="G87" s="9">
        <f t="shared" si="21"/>
        <v>0</v>
      </c>
      <c r="H87" s="10"/>
      <c r="I87" s="11">
        <f t="shared" si="22"/>
        <v>0</v>
      </c>
      <c r="J87" s="66">
        <f t="shared" si="23"/>
        <v>0</v>
      </c>
      <c r="K87" s="5"/>
    </row>
    <row r="88" spans="1:14" x14ac:dyDescent="0.25">
      <c r="A88" s="18"/>
      <c r="B88" s="63" t="s">
        <v>41</v>
      </c>
      <c r="C88" s="64">
        <v>60</v>
      </c>
      <c r="D88" s="29" t="s">
        <v>38</v>
      </c>
      <c r="E88" s="17" t="s">
        <v>132</v>
      </c>
      <c r="F88" s="7">
        <f>VLOOKUP(E88,'Labor Projections'!A$3:D$12,4,FALSE)</f>
        <v>85</v>
      </c>
      <c r="G88" s="9">
        <f t="shared" si="21"/>
        <v>0</v>
      </c>
      <c r="H88" s="10"/>
      <c r="I88" s="11">
        <f t="shared" si="22"/>
        <v>0</v>
      </c>
      <c r="J88" s="66">
        <f t="shared" si="23"/>
        <v>0</v>
      </c>
      <c r="K88" s="5"/>
    </row>
    <row r="89" spans="1:14" x14ac:dyDescent="0.25">
      <c r="A89" s="18"/>
      <c r="B89" s="63" t="s">
        <v>93</v>
      </c>
      <c r="C89" s="64">
        <v>60</v>
      </c>
      <c r="D89" s="29" t="s">
        <v>38</v>
      </c>
      <c r="E89" s="17" t="s">
        <v>132</v>
      </c>
      <c r="F89" s="7">
        <f>VLOOKUP(E89,'Labor Projections'!A$3:D$12,4,FALSE)</f>
        <v>85</v>
      </c>
      <c r="G89" s="9">
        <f t="shared" si="21"/>
        <v>0</v>
      </c>
      <c r="H89" s="10"/>
      <c r="I89" s="11">
        <f t="shared" si="22"/>
        <v>0</v>
      </c>
      <c r="J89" s="66">
        <f t="shared" si="23"/>
        <v>0</v>
      </c>
      <c r="K89" s="5"/>
    </row>
    <row r="90" spans="1:14" x14ac:dyDescent="0.25">
      <c r="A90" s="268"/>
      <c r="B90" s="63" t="s">
        <v>316</v>
      </c>
      <c r="C90" s="64">
        <v>2</v>
      </c>
      <c r="D90" s="29" t="s">
        <v>38</v>
      </c>
      <c r="E90" s="17" t="s">
        <v>132</v>
      </c>
      <c r="F90" s="7">
        <f>VLOOKUP(E90,'Labor Projections'!A$3:D$12,4,FALSE)</f>
        <v>85</v>
      </c>
      <c r="G90" s="9">
        <f t="shared" si="21"/>
        <v>0</v>
      </c>
      <c r="H90" s="10"/>
      <c r="I90" s="11">
        <f t="shared" si="22"/>
        <v>0</v>
      </c>
      <c r="J90" s="66">
        <f t="shared" si="23"/>
        <v>0</v>
      </c>
      <c r="K90" s="5"/>
    </row>
    <row r="91" spans="1:14" x14ac:dyDescent="0.25">
      <c r="A91" s="18"/>
      <c r="B91" s="63" t="s">
        <v>94</v>
      </c>
      <c r="C91" s="64">
        <v>30</v>
      </c>
      <c r="D91" s="29" t="s">
        <v>38</v>
      </c>
      <c r="E91" s="17" t="s">
        <v>132</v>
      </c>
      <c r="F91" s="7">
        <f>VLOOKUP(E91,'Labor Projections'!A$3:D$12,4,FALSE)</f>
        <v>85</v>
      </c>
      <c r="G91" s="9">
        <f t="shared" si="21"/>
        <v>0</v>
      </c>
      <c r="H91" s="10"/>
      <c r="I91" s="11">
        <f t="shared" si="22"/>
        <v>0</v>
      </c>
      <c r="J91" s="66">
        <f t="shared" si="23"/>
        <v>0</v>
      </c>
      <c r="K91" s="5"/>
    </row>
    <row r="92" spans="1:14" ht="13.8" thickBot="1" x14ac:dyDescent="0.3">
      <c r="A92" s="19"/>
      <c r="B92" s="123" t="s">
        <v>79</v>
      </c>
      <c r="C92" s="124">
        <v>60</v>
      </c>
      <c r="D92" s="129" t="s">
        <v>38</v>
      </c>
      <c r="E92" s="17" t="s">
        <v>132</v>
      </c>
      <c r="F92" s="7">
        <f>VLOOKUP(E92,'Labor Projections'!A$3:D$12,4,FALSE)</f>
        <v>85</v>
      </c>
      <c r="G92" s="9">
        <f t="shared" si="21"/>
        <v>0</v>
      </c>
      <c r="H92" s="10"/>
      <c r="I92" s="11">
        <f t="shared" si="22"/>
        <v>0</v>
      </c>
      <c r="J92" s="66">
        <f t="shared" si="23"/>
        <v>0</v>
      </c>
      <c r="K92" s="5"/>
    </row>
    <row r="93" spans="1:14" ht="13.8" thickBot="1" x14ac:dyDescent="0.3">
      <c r="A93" s="301" t="s">
        <v>116</v>
      </c>
      <c r="B93" s="302" t="s">
        <v>95</v>
      </c>
      <c r="C93" s="303" t="s">
        <v>35</v>
      </c>
      <c r="D93" s="304" t="s">
        <v>36</v>
      </c>
      <c r="E93" s="303" t="s">
        <v>133</v>
      </c>
      <c r="F93" s="305" t="s">
        <v>134</v>
      </c>
      <c r="G93" s="315">
        <f>SUM(G94:G95)</f>
        <v>0</v>
      </c>
      <c r="H93" s="8"/>
      <c r="I93" s="307">
        <f>SUM(I94:I95)</f>
        <v>0</v>
      </c>
      <c r="J93" s="316">
        <f>SUM(J94:J95)</f>
        <v>0</v>
      </c>
      <c r="K93" s="2"/>
      <c r="N93" s="2"/>
    </row>
    <row r="94" spans="1:14" x14ac:dyDescent="0.25">
      <c r="A94" s="20"/>
      <c r="B94" s="126" t="s">
        <v>96</v>
      </c>
      <c r="C94" s="127"/>
      <c r="D94" s="128" t="s">
        <v>38</v>
      </c>
      <c r="E94" s="17" t="s">
        <v>132</v>
      </c>
      <c r="F94" s="7">
        <f>VLOOKUP(E94,'Labor Projections'!A$3:D$12,4,FALSE)</f>
        <v>85</v>
      </c>
      <c r="G94" s="9">
        <f t="shared" ref="G94:G95" si="24">I94*F94</f>
        <v>0</v>
      </c>
      <c r="H94" s="10"/>
      <c r="I94" s="11">
        <f t="shared" ref="I94:I95" si="25">(A94*C94)/60</f>
        <v>0</v>
      </c>
      <c r="J94" s="66">
        <f t="shared" ref="J94:J95" si="26">IF(I94=0,0,I94/I$2)</f>
        <v>0</v>
      </c>
      <c r="K94" s="5"/>
    </row>
    <row r="95" spans="1:14" ht="13.8" thickBot="1" x14ac:dyDescent="0.3">
      <c r="A95" s="18"/>
      <c r="B95" s="63" t="s">
        <v>97</v>
      </c>
      <c r="C95" s="64">
        <v>15</v>
      </c>
      <c r="D95" s="29" t="s">
        <v>38</v>
      </c>
      <c r="E95" s="17" t="s">
        <v>132</v>
      </c>
      <c r="F95" s="7">
        <f>VLOOKUP(E95,'Labor Projections'!A$3:D$12,4,FALSE)</f>
        <v>85</v>
      </c>
      <c r="G95" s="9">
        <f t="shared" si="24"/>
        <v>0</v>
      </c>
      <c r="H95" s="10"/>
      <c r="I95" s="11">
        <f t="shared" si="25"/>
        <v>0</v>
      </c>
      <c r="J95" s="66">
        <f t="shared" si="26"/>
        <v>0</v>
      </c>
      <c r="K95" s="5"/>
    </row>
    <row r="96" spans="1:14" ht="13.8" thickBot="1" x14ac:dyDescent="0.3">
      <c r="A96" s="301" t="s">
        <v>116</v>
      </c>
      <c r="B96" s="302" t="s">
        <v>57</v>
      </c>
      <c r="C96" s="303" t="s">
        <v>35</v>
      </c>
      <c r="D96" s="304" t="s">
        <v>36</v>
      </c>
      <c r="E96" s="303" t="s">
        <v>133</v>
      </c>
      <c r="F96" s="305" t="s">
        <v>134</v>
      </c>
      <c r="G96" s="315">
        <f>SUM(G97:G98)</f>
        <v>0</v>
      </c>
      <c r="H96" s="8"/>
      <c r="I96" s="307">
        <f>SUM(I97:I98)</f>
        <v>0</v>
      </c>
      <c r="J96" s="316">
        <f>SUM(J97:J98)</f>
        <v>0</v>
      </c>
      <c r="K96" s="2"/>
      <c r="N96" s="2"/>
    </row>
    <row r="97" spans="1:14" x14ac:dyDescent="0.25">
      <c r="A97" s="20"/>
      <c r="B97" s="126" t="s">
        <v>58</v>
      </c>
      <c r="C97" s="127">
        <v>25</v>
      </c>
      <c r="D97" s="128" t="s">
        <v>38</v>
      </c>
      <c r="E97" s="17" t="s">
        <v>306</v>
      </c>
      <c r="F97" s="7">
        <f>VLOOKUP(E97,'Labor Projections'!A$3:D$12,4,FALSE)</f>
        <v>100</v>
      </c>
      <c r="G97" s="9">
        <f t="shared" ref="G97:G98" si="27">I97*F97</f>
        <v>0</v>
      </c>
      <c r="H97" s="10"/>
      <c r="I97" s="11">
        <f t="shared" ref="I97:I98" si="28">(A97*C97)/60</f>
        <v>0</v>
      </c>
      <c r="J97" s="66">
        <f t="shared" ref="J97:J98" si="29">IF(I97=0,0,I97/I$2)</f>
        <v>0</v>
      </c>
      <c r="K97" s="5"/>
    </row>
    <row r="98" spans="1:14" ht="13.8" thickBot="1" x14ac:dyDescent="0.3">
      <c r="A98" s="18"/>
      <c r="B98" s="63" t="s">
        <v>59</v>
      </c>
      <c r="C98" s="64">
        <v>3</v>
      </c>
      <c r="D98" s="29" t="s">
        <v>38</v>
      </c>
      <c r="E98" s="17" t="s">
        <v>306</v>
      </c>
      <c r="F98" s="7">
        <f>VLOOKUP(E98,'Labor Projections'!A$3:D$12,4,FALSE)</f>
        <v>100</v>
      </c>
      <c r="G98" s="9">
        <f t="shared" si="27"/>
        <v>0</v>
      </c>
      <c r="H98" s="10"/>
      <c r="I98" s="11">
        <f t="shared" si="28"/>
        <v>0</v>
      </c>
      <c r="J98" s="66">
        <f t="shared" si="29"/>
        <v>0</v>
      </c>
      <c r="K98" s="5"/>
    </row>
    <row r="99" spans="1:14" ht="13.8" thickBot="1" x14ac:dyDescent="0.3">
      <c r="A99" s="301" t="s">
        <v>116</v>
      </c>
      <c r="B99" s="302" t="s">
        <v>60</v>
      </c>
      <c r="C99" s="303" t="s">
        <v>35</v>
      </c>
      <c r="D99" s="304" t="s">
        <v>36</v>
      </c>
      <c r="E99" s="303" t="s">
        <v>133</v>
      </c>
      <c r="F99" s="305" t="s">
        <v>134</v>
      </c>
      <c r="G99" s="315">
        <f>SUM(G100:G101)</f>
        <v>0</v>
      </c>
      <c r="H99" s="8"/>
      <c r="I99" s="307">
        <f>SUM(I100:I101)</f>
        <v>0</v>
      </c>
      <c r="J99" s="316">
        <f>SUM(J100:J101)</f>
        <v>0</v>
      </c>
      <c r="K99" s="2"/>
      <c r="N99" s="2"/>
    </row>
    <row r="100" spans="1:14" x14ac:dyDescent="0.25">
      <c r="A100" s="20"/>
      <c r="B100" s="126" t="s">
        <v>323</v>
      </c>
      <c r="C100" s="127">
        <v>30</v>
      </c>
      <c r="D100" s="128" t="s">
        <v>38</v>
      </c>
      <c r="E100" s="17" t="s">
        <v>132</v>
      </c>
      <c r="F100" s="7">
        <f>VLOOKUP(E100,'Labor Projections'!A$3:D$12,4,FALSE)</f>
        <v>85</v>
      </c>
      <c r="G100" s="9">
        <f t="shared" ref="G100:G101" si="30">I100*F100</f>
        <v>0</v>
      </c>
      <c r="H100" s="10"/>
      <c r="I100" s="11">
        <f t="shared" ref="I100:I101" si="31">(A100*C100)/60</f>
        <v>0</v>
      </c>
      <c r="J100" s="66">
        <f t="shared" ref="J100:J101" si="32">IF(I100=0,0,I100/I$2)</f>
        <v>0</v>
      </c>
      <c r="K100" s="5"/>
    </row>
    <row r="101" spans="1:14" ht="13.8" thickBot="1" x14ac:dyDescent="0.3">
      <c r="A101" s="18"/>
      <c r="B101" s="63" t="s">
        <v>61</v>
      </c>
      <c r="C101" s="64">
        <v>10</v>
      </c>
      <c r="D101" s="29" t="s">
        <v>38</v>
      </c>
      <c r="E101" s="17" t="s">
        <v>132</v>
      </c>
      <c r="F101" s="7">
        <f>VLOOKUP(E101,'Labor Projections'!A$3:D$12,4,FALSE)</f>
        <v>85</v>
      </c>
      <c r="G101" s="9">
        <f t="shared" si="30"/>
        <v>0</v>
      </c>
      <c r="H101" s="10"/>
      <c r="I101" s="11">
        <f t="shared" si="31"/>
        <v>0</v>
      </c>
      <c r="J101" s="66">
        <f t="shared" si="32"/>
        <v>0</v>
      </c>
      <c r="K101" s="5"/>
    </row>
    <row r="102" spans="1:14" ht="13.8" thickBot="1" x14ac:dyDescent="0.3">
      <c r="A102" s="301" t="s">
        <v>116</v>
      </c>
      <c r="B102" s="302" t="s">
        <v>62</v>
      </c>
      <c r="C102" s="303" t="s">
        <v>35</v>
      </c>
      <c r="D102" s="304" t="s">
        <v>36</v>
      </c>
      <c r="E102" s="303" t="s">
        <v>133</v>
      </c>
      <c r="F102" s="305" t="s">
        <v>134</v>
      </c>
      <c r="G102" s="315">
        <f>SUM(G103:G103)</f>
        <v>0</v>
      </c>
      <c r="H102" s="8"/>
      <c r="I102" s="307">
        <f>SUM(I103:I103)</f>
        <v>0</v>
      </c>
      <c r="J102" s="316">
        <f>SUM(J103:J103)</f>
        <v>0</v>
      </c>
      <c r="K102" s="2"/>
      <c r="N102" s="2"/>
    </row>
    <row r="103" spans="1:14" ht="13.8" thickBot="1" x14ac:dyDescent="0.3">
      <c r="A103" s="20"/>
      <c r="B103" s="126" t="s">
        <v>63</v>
      </c>
      <c r="C103" s="127">
        <v>1200</v>
      </c>
      <c r="D103" s="132" t="s">
        <v>38</v>
      </c>
      <c r="E103" s="17" t="s">
        <v>132</v>
      </c>
      <c r="F103" s="7">
        <f>VLOOKUP(E103,'Labor Projections'!A$3:D$12,4,FALSE)</f>
        <v>85</v>
      </c>
      <c r="G103" s="9">
        <f>I103*F103</f>
        <v>0</v>
      </c>
      <c r="H103" s="10"/>
      <c r="I103" s="11">
        <f>(A103*C103)/60</f>
        <v>0</v>
      </c>
      <c r="J103" s="66">
        <f>IF(I103=0,0,I103/I$2)</f>
        <v>0</v>
      </c>
      <c r="K103" s="5"/>
    </row>
    <row r="104" spans="1:14" ht="13.8" thickBot="1" x14ac:dyDescent="0.3">
      <c r="A104" s="301" t="s">
        <v>116</v>
      </c>
      <c r="B104" s="302" t="s">
        <v>113</v>
      </c>
      <c r="C104" s="303" t="s">
        <v>35</v>
      </c>
      <c r="D104" s="304" t="s">
        <v>36</v>
      </c>
      <c r="E104" s="303" t="s">
        <v>133</v>
      </c>
      <c r="F104" s="305" t="s">
        <v>134</v>
      </c>
      <c r="G104" s="315">
        <f>SUM(G105:G106)</f>
        <v>0</v>
      </c>
      <c r="H104" s="8"/>
      <c r="I104" s="307">
        <f>SUM(I105:I106)</f>
        <v>0</v>
      </c>
      <c r="J104" s="316">
        <f>SUM(J105:J106)</f>
        <v>0</v>
      </c>
      <c r="K104" s="2"/>
      <c r="N104" s="2"/>
    </row>
    <row r="105" spans="1:14" x14ac:dyDescent="0.25">
      <c r="A105" s="20"/>
      <c r="B105" s="126" t="s">
        <v>373</v>
      </c>
      <c r="C105" s="127">
        <v>480</v>
      </c>
      <c r="D105" s="132" t="s">
        <v>38</v>
      </c>
      <c r="E105" s="17" t="s">
        <v>28</v>
      </c>
      <c r="F105" s="7">
        <f>VLOOKUP(E105,'Labor Projections'!A$3:D$12,4,FALSE)</f>
        <v>95</v>
      </c>
      <c r="G105" s="9">
        <f t="shared" ref="G105:G106" si="33">I105*F105</f>
        <v>0</v>
      </c>
      <c r="H105" s="10"/>
      <c r="I105" s="11">
        <f t="shared" ref="I105:I106" si="34">(A105*C105)/60</f>
        <v>0</v>
      </c>
      <c r="J105" s="66">
        <f t="shared" ref="J105:J106" si="35">IF(I105=0,0,I105/I$2)</f>
        <v>0</v>
      </c>
      <c r="K105" s="5"/>
    </row>
    <row r="106" spans="1:14" ht="14.25" customHeight="1" thickBot="1" x14ac:dyDescent="0.3">
      <c r="A106" s="21"/>
      <c r="B106" s="133" t="s">
        <v>226</v>
      </c>
      <c r="C106" s="134">
        <v>240</v>
      </c>
      <c r="D106" s="135" t="s">
        <v>38</v>
      </c>
      <c r="E106" s="17" t="s">
        <v>306</v>
      </c>
      <c r="F106" s="7">
        <f>VLOOKUP(E106,'Labor Projections'!A$3:D$12,4,FALSE)</f>
        <v>100</v>
      </c>
      <c r="G106" s="22">
        <f t="shared" si="33"/>
        <v>0</v>
      </c>
      <c r="H106" s="10"/>
      <c r="I106" s="24">
        <f t="shared" si="34"/>
        <v>0</v>
      </c>
      <c r="J106" s="66">
        <f t="shared" si="35"/>
        <v>0</v>
      </c>
      <c r="K106" s="5"/>
    </row>
    <row r="107" spans="1:14" ht="13.8" thickBot="1" x14ac:dyDescent="0.3">
      <c r="A107" s="301" t="s">
        <v>116</v>
      </c>
      <c r="C107" s="3"/>
      <c r="E107" s="317" t="str">
        <f>'Labor Projections'!A3</f>
        <v>Technician</v>
      </c>
      <c r="F107" s="318" t="s">
        <v>115</v>
      </c>
      <c r="G107" s="23">
        <f ca="1">SUMIF(E$5:G$106,E107,G$5:G$106)</f>
        <v>0</v>
      </c>
      <c r="H107" s="8"/>
      <c r="I107" s="25">
        <f ca="1">SUMIF(E$5:G$106,E107,I$5:I$106)</f>
        <v>0</v>
      </c>
      <c r="K107" s="5"/>
    </row>
    <row r="108" spans="1:14" ht="13.8" thickBot="1" x14ac:dyDescent="0.3">
      <c r="A108" s="301" t="s">
        <v>116</v>
      </c>
      <c r="E108" s="317" t="str">
        <f>'Labor Projections'!A4</f>
        <v>Construction Manager</v>
      </c>
      <c r="F108" s="318" t="s">
        <v>115</v>
      </c>
      <c r="G108" s="12">
        <f ca="1">SUMIF(E$5:G$106,E108,G$5:G$106)</f>
        <v>0</v>
      </c>
      <c r="H108" s="8"/>
      <c r="I108" s="13">
        <f ca="1">SUMIF(E$5:G$106,E108,I$5:I$106)</f>
        <v>0</v>
      </c>
      <c r="K108" s="5"/>
    </row>
    <row r="109" spans="1:14" ht="13.8" thickBot="1" x14ac:dyDescent="0.3">
      <c r="A109" s="301" t="s">
        <v>116</v>
      </c>
      <c r="E109" s="317" t="str">
        <f>'Labor Projections'!A5</f>
        <v>RF-Engineer</v>
      </c>
      <c r="F109" s="318" t="s">
        <v>115</v>
      </c>
      <c r="G109" s="12">
        <f ca="1">SUMIF(E$5:G$106,E109,G$5:G$106)</f>
        <v>0</v>
      </c>
      <c r="H109" s="8"/>
      <c r="I109" s="13">
        <f ca="1">SUMIF(E$5:G$106,E109,I$5:I$106)</f>
        <v>0</v>
      </c>
      <c r="K109" s="5"/>
    </row>
    <row r="110" spans="1:14" ht="13.8" thickBot="1" x14ac:dyDescent="0.3">
      <c r="A110" s="301" t="s">
        <v>116</v>
      </c>
      <c r="E110" s="317" t="str">
        <f>'Labor Projections'!A6</f>
        <v>RF-Technician</v>
      </c>
      <c r="F110" s="318" t="s">
        <v>115</v>
      </c>
      <c r="G110" s="12">
        <f ca="1">SUMIF(E$5:G$106,E110,G$5:G$106)</f>
        <v>0</v>
      </c>
      <c r="H110" s="8"/>
      <c r="I110" s="13">
        <f ca="1">SUMIF(E$5:G$106,E110,I$5:I$106)</f>
        <v>0</v>
      </c>
      <c r="K110" s="5"/>
    </row>
    <row r="111" spans="1:14" ht="13.8" thickBot="1" x14ac:dyDescent="0.3">
      <c r="A111" s="301" t="s">
        <v>116</v>
      </c>
      <c r="E111" s="319" t="str">
        <f>'Labor Projections'!A7</f>
        <v>Project Coordinator</v>
      </c>
      <c r="F111" s="320" t="s">
        <v>115</v>
      </c>
      <c r="G111" s="12">
        <f ca="1">SUMIF(E$5:G$106,E111,G$5:G$106)</f>
        <v>0</v>
      </c>
      <c r="H111" s="8"/>
      <c r="I111" s="13">
        <f ca="1">SUMIF(E$5:G$106,E111,I$5:I$106)</f>
        <v>0</v>
      </c>
      <c r="K111" s="5"/>
    </row>
    <row r="112" spans="1:14" ht="13.8" thickBot="1" x14ac:dyDescent="0.3">
      <c r="A112" s="301" t="s">
        <v>116</v>
      </c>
      <c r="E112" s="319" t="str">
        <f>'Labor Projections'!A8</f>
        <v>Project Manager</v>
      </c>
      <c r="F112" s="320" t="s">
        <v>115</v>
      </c>
      <c r="G112" s="12">
        <f ca="1">SUMIF(E$5:G$106,E112,G$5:G$106)</f>
        <v>0</v>
      </c>
      <c r="H112" s="8"/>
      <c r="I112" s="13">
        <f ca="1">SUMIF(E$5:G$106,E112,I$5:I$106)</f>
        <v>0</v>
      </c>
      <c r="K112" s="5"/>
    </row>
    <row r="113" spans="1:11" ht="13.8" thickBot="1" x14ac:dyDescent="0.3">
      <c r="A113" s="301" t="s">
        <v>116</v>
      </c>
      <c r="E113" s="319" t="s">
        <v>137</v>
      </c>
      <c r="F113" s="320" t="s">
        <v>115</v>
      </c>
      <c r="G113" s="12">
        <f ca="1">SUM(G107:G112)</f>
        <v>0</v>
      </c>
      <c r="H113" s="8"/>
      <c r="I113" s="13">
        <f ca="1">SUM(I107:I112)</f>
        <v>0</v>
      </c>
      <c r="K113" s="5"/>
    </row>
    <row r="114" spans="1:11" x14ac:dyDescent="0.25">
      <c r="K114" s="5"/>
    </row>
    <row r="115" spans="1:11" x14ac:dyDescent="0.25">
      <c r="K115" s="5"/>
    </row>
    <row r="116" spans="1:11" x14ac:dyDescent="0.25">
      <c r="K116" s="5"/>
    </row>
    <row r="117" spans="1:11" x14ac:dyDescent="0.25">
      <c r="K117" s="5"/>
    </row>
    <row r="118" spans="1:11" x14ac:dyDescent="0.25">
      <c r="K118" s="5"/>
    </row>
    <row r="119" spans="1:11" x14ac:dyDescent="0.25">
      <c r="K119" s="5"/>
    </row>
  </sheetData>
  <sheetProtection autoFilter="0"/>
  <autoFilter ref="A3:J113" xr:uid="{2C90239C-CCBA-45F4-B70C-0EC31A1546B2}"/>
  <mergeCells count="3">
    <mergeCell ref="E2:F2"/>
    <mergeCell ref="A2:B2"/>
    <mergeCell ref="C2:D2"/>
  </mergeCells>
  <pageMargins left="0.7" right="0.7" top="0.75" bottom="0.75" header="0.3" footer="0.3"/>
  <pageSetup orientation="portrait" r:id="rId1"/>
  <ignoredErrors>
    <ignoredError sqref="A33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42837A-AB99-4AD7-8DE2-A952DE4057FD}">
          <x14:formula1>
            <xm:f>'Labor Projections'!$A$3:$A$8</xm:f>
          </x14:formula1>
          <xm:sqref>E114:E1048576 E2:E106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38F7-F71C-45C3-9C75-6BACA93E495F}">
  <dimension ref="A1:J38"/>
  <sheetViews>
    <sheetView zoomScaleNormal="100" workbookViewId="0">
      <pane xSplit="2" ySplit="2" topLeftCell="C5" activePane="bottomRight" state="frozen"/>
      <selection pane="topRight" activeCell="C1" sqref="C1"/>
      <selection pane="bottomLeft" activeCell="A3" sqref="A3"/>
      <selection pane="bottomRight" activeCell="A27" sqref="A27:XFD27"/>
    </sheetView>
  </sheetViews>
  <sheetFormatPr defaultColWidth="9.21875" defaultRowHeight="13.2" x14ac:dyDescent="0.25"/>
  <cols>
    <col min="1" max="1" width="19" customWidth="1"/>
    <col min="2" max="2" width="54.5546875" customWidth="1"/>
    <col min="3" max="3" width="21.21875" bestFit="1" customWidth="1"/>
    <col min="4" max="4" width="11.77734375" bestFit="1" customWidth="1"/>
    <col min="5" max="5" width="21.44140625" bestFit="1" customWidth="1"/>
    <col min="6" max="6" width="12.77734375" bestFit="1" customWidth="1"/>
    <col min="7" max="7" width="21.44140625" customWidth="1"/>
    <col min="8" max="8" width="5.44140625" customWidth="1"/>
    <col min="9" max="10" width="18.21875" customWidth="1"/>
  </cols>
  <sheetData>
    <row r="1" spans="1:10" ht="16.2" thickBot="1" x14ac:dyDescent="0.35">
      <c r="A1" s="425" t="s">
        <v>122</v>
      </c>
      <c r="B1" s="426"/>
      <c r="C1" s="427" t="s">
        <v>123</v>
      </c>
      <c r="D1" s="428"/>
      <c r="E1" s="423" t="s">
        <v>131</v>
      </c>
      <c r="F1" s="424"/>
      <c r="G1" s="115">
        <f ca="1">G38</f>
        <v>0</v>
      </c>
      <c r="H1" s="8"/>
      <c r="I1" s="116">
        <f ca="1">I38</f>
        <v>0</v>
      </c>
      <c r="J1" s="117">
        <f ca="1">IF(I1=0,0,I1/('Labor Projections'!F9))</f>
        <v>0</v>
      </c>
    </row>
    <row r="2" spans="1:10" ht="13.8" thickBot="1" x14ac:dyDescent="0.3">
      <c r="A2" s="301" t="s">
        <v>114</v>
      </c>
      <c r="B2" s="302" t="s">
        <v>1</v>
      </c>
      <c r="C2" s="303" t="s">
        <v>35</v>
      </c>
      <c r="D2" s="304" t="s">
        <v>36</v>
      </c>
      <c r="E2" s="303" t="s">
        <v>133</v>
      </c>
      <c r="F2" s="321" t="s">
        <v>134</v>
      </c>
      <c r="G2" s="322" t="s">
        <v>7</v>
      </c>
      <c r="H2" s="8"/>
      <c r="I2" s="307" t="s">
        <v>24</v>
      </c>
      <c r="J2" s="307" t="s">
        <v>111</v>
      </c>
    </row>
    <row r="3" spans="1:10" ht="15" thickBot="1" x14ac:dyDescent="0.3">
      <c r="A3" s="301" t="s">
        <v>116</v>
      </c>
      <c r="B3" s="323" t="s">
        <v>6</v>
      </c>
      <c r="C3" s="303" t="s">
        <v>165</v>
      </c>
      <c r="D3" s="304" t="s">
        <v>36</v>
      </c>
      <c r="E3" s="308" t="s">
        <v>133</v>
      </c>
      <c r="F3" s="324" t="s">
        <v>134</v>
      </c>
      <c r="G3" s="325">
        <f>SUM(G4:G7)</f>
        <v>0</v>
      </c>
      <c r="H3" s="8"/>
      <c r="I3" s="311">
        <f>SUM(I4:I7)</f>
        <v>0</v>
      </c>
      <c r="J3" s="326">
        <f>SUM(J4:J7)</f>
        <v>0</v>
      </c>
    </row>
    <row r="4" spans="1:10" x14ac:dyDescent="0.25">
      <c r="A4" s="18"/>
      <c r="B4" s="63" t="s">
        <v>8</v>
      </c>
      <c r="C4" s="64">
        <v>5.1899999999999995</v>
      </c>
      <c r="D4" s="29" t="s">
        <v>40</v>
      </c>
      <c r="E4" s="17" t="s">
        <v>132</v>
      </c>
      <c r="F4" s="65">
        <f>VLOOKUP(E4,'Labor Projections'!A$3:D$12,4,FALSE)</f>
        <v>85</v>
      </c>
      <c r="G4" s="65">
        <f t="shared" ref="G4:G10" si="0">F4*I4</f>
        <v>0</v>
      </c>
      <c r="H4" s="10"/>
      <c r="I4" s="11">
        <f>(A4*C4)/60</f>
        <v>0</v>
      </c>
      <c r="J4" s="66">
        <f>IF(I4=0,0,I4/I$1)</f>
        <v>0</v>
      </c>
    </row>
    <row r="5" spans="1:10" x14ac:dyDescent="0.25">
      <c r="A5" s="18"/>
      <c r="B5" s="63" t="s">
        <v>9</v>
      </c>
      <c r="C5" s="64">
        <v>10.379999999999999</v>
      </c>
      <c r="D5" s="29" t="s">
        <v>40</v>
      </c>
      <c r="E5" s="17" t="s">
        <v>132</v>
      </c>
      <c r="F5" s="65">
        <f>VLOOKUP(E5,'Labor Projections'!A$3:D$12,4,FALSE)</f>
        <v>85</v>
      </c>
      <c r="G5" s="65">
        <f t="shared" si="0"/>
        <v>0</v>
      </c>
      <c r="H5" s="10"/>
      <c r="I5" s="11">
        <f t="shared" ref="I5:I10" si="1">(A5*C5)/60</f>
        <v>0</v>
      </c>
      <c r="J5" s="66">
        <f t="shared" ref="J5:J10" si="2">IF(I5=0,0,I5/I$1)</f>
        <v>0</v>
      </c>
    </row>
    <row r="6" spans="1:10" x14ac:dyDescent="0.25">
      <c r="A6" s="18"/>
      <c r="B6" s="63" t="s">
        <v>10</v>
      </c>
      <c r="C6" s="64">
        <v>10.379999999999999</v>
      </c>
      <c r="D6" s="29" t="s">
        <v>40</v>
      </c>
      <c r="E6" s="17" t="s">
        <v>132</v>
      </c>
      <c r="F6" s="65">
        <f>VLOOKUP(E6,'Labor Projections'!A$3:D$12,4,FALSE)</f>
        <v>85</v>
      </c>
      <c r="G6" s="65">
        <f t="shared" si="0"/>
        <v>0</v>
      </c>
      <c r="H6" s="10"/>
      <c r="I6" s="11">
        <f t="shared" si="1"/>
        <v>0</v>
      </c>
      <c r="J6" s="66">
        <f t="shared" si="2"/>
        <v>0</v>
      </c>
    </row>
    <row r="7" spans="1:10" x14ac:dyDescent="0.25">
      <c r="A7" s="18"/>
      <c r="B7" s="63" t="s">
        <v>11</v>
      </c>
      <c r="C7" s="64">
        <v>3.1139999999999999</v>
      </c>
      <c r="D7" s="29" t="s">
        <v>40</v>
      </c>
      <c r="E7" s="17" t="s">
        <v>132</v>
      </c>
      <c r="F7" s="65">
        <f>VLOOKUP(E7,'Labor Projections'!A$3:D$12,4,FALSE)</f>
        <v>85</v>
      </c>
      <c r="G7" s="65">
        <f t="shared" si="0"/>
        <v>0</v>
      </c>
      <c r="H7" s="10"/>
      <c r="I7" s="11">
        <f t="shared" si="1"/>
        <v>0</v>
      </c>
      <c r="J7" s="66">
        <f t="shared" si="2"/>
        <v>0</v>
      </c>
    </row>
    <row r="8" spans="1:10" x14ac:dyDescent="0.25">
      <c r="A8" s="18"/>
      <c r="B8" s="63" t="s">
        <v>12</v>
      </c>
      <c r="C8" s="64">
        <v>5.7089999999999996</v>
      </c>
      <c r="D8" s="29" t="s">
        <v>40</v>
      </c>
      <c r="E8" s="17" t="s">
        <v>132</v>
      </c>
      <c r="F8" s="65">
        <f>VLOOKUP(E8,'Labor Projections'!A$3:D$12,4,FALSE)</f>
        <v>85</v>
      </c>
      <c r="G8" s="65">
        <f t="shared" si="0"/>
        <v>0</v>
      </c>
      <c r="H8" s="10"/>
      <c r="I8" s="11">
        <f t="shared" si="1"/>
        <v>0</v>
      </c>
      <c r="J8" s="66">
        <f t="shared" si="2"/>
        <v>0</v>
      </c>
    </row>
    <row r="9" spans="1:10" x14ac:dyDescent="0.25">
      <c r="A9" s="18"/>
      <c r="B9" s="63" t="s">
        <v>13</v>
      </c>
      <c r="C9" s="64">
        <v>5.1899999999999995</v>
      </c>
      <c r="D9" s="29" t="s">
        <v>40</v>
      </c>
      <c r="E9" s="17" t="s">
        <v>132</v>
      </c>
      <c r="F9" s="65">
        <f>VLOOKUP(E9,'Labor Projections'!A$3:D$12,4,FALSE)</f>
        <v>85</v>
      </c>
      <c r="G9" s="65">
        <f t="shared" si="0"/>
        <v>0</v>
      </c>
      <c r="H9" s="10"/>
      <c r="I9" s="11">
        <f t="shared" si="1"/>
        <v>0</v>
      </c>
      <c r="J9" s="66">
        <f t="shared" si="2"/>
        <v>0</v>
      </c>
    </row>
    <row r="10" spans="1:10" ht="13.8" thickBot="1" x14ac:dyDescent="0.3">
      <c r="A10" s="18"/>
      <c r="B10" s="63" t="s">
        <v>14</v>
      </c>
      <c r="C10" s="64">
        <v>5.1899999999999995</v>
      </c>
      <c r="D10" s="29" t="s">
        <v>40</v>
      </c>
      <c r="E10" s="17" t="s">
        <v>132</v>
      </c>
      <c r="F10" s="65">
        <f>VLOOKUP(E10,'Labor Projections'!A$3:D$12,4,FALSE)</f>
        <v>85</v>
      </c>
      <c r="G10" s="65">
        <f t="shared" si="0"/>
        <v>0</v>
      </c>
      <c r="H10" s="10"/>
      <c r="I10" s="11">
        <f t="shared" si="1"/>
        <v>0</v>
      </c>
      <c r="J10" s="66">
        <f t="shared" si="2"/>
        <v>0</v>
      </c>
    </row>
    <row r="11" spans="1:10" ht="15" thickBot="1" x14ac:dyDescent="0.3">
      <c r="A11" s="301" t="s">
        <v>116</v>
      </c>
      <c r="B11" s="323" t="s">
        <v>15</v>
      </c>
      <c r="C11" s="303" t="s">
        <v>165</v>
      </c>
      <c r="D11" s="304" t="s">
        <v>36</v>
      </c>
      <c r="E11" s="308" t="s">
        <v>133</v>
      </c>
      <c r="F11" s="324" t="s">
        <v>134</v>
      </c>
      <c r="G11" s="325">
        <f>SUM(G12:G15)</f>
        <v>0</v>
      </c>
      <c r="H11" s="8"/>
      <c r="I11" s="311">
        <f>SUM(I12:I15)</f>
        <v>0</v>
      </c>
      <c r="J11" s="326">
        <f>SUM(J12:J15)</f>
        <v>0</v>
      </c>
    </row>
    <row r="12" spans="1:10" x14ac:dyDescent="0.25">
      <c r="A12" s="18"/>
      <c r="B12" s="63" t="s">
        <v>16</v>
      </c>
      <c r="C12" s="64">
        <v>2.5949999999999998</v>
      </c>
      <c r="D12" s="29" t="s">
        <v>40</v>
      </c>
      <c r="E12" s="17" t="s">
        <v>132</v>
      </c>
      <c r="F12" s="65">
        <f>VLOOKUP(E12,'Labor Projections'!A$3:D$12,4,FALSE)</f>
        <v>85</v>
      </c>
      <c r="G12" s="65">
        <f t="shared" ref="G12:G16" si="3">F12*I12</f>
        <v>0</v>
      </c>
      <c r="H12" s="10"/>
      <c r="I12" s="11">
        <f t="shared" ref="I12:I16" si="4">(A12*C12)/60</f>
        <v>0</v>
      </c>
      <c r="J12" s="66">
        <f t="shared" ref="J12:J16" si="5">IF(I12=0,0,I12/I$1)</f>
        <v>0</v>
      </c>
    </row>
    <row r="13" spans="1:10" x14ac:dyDescent="0.25">
      <c r="A13" s="18"/>
      <c r="B13" s="63" t="s">
        <v>17</v>
      </c>
      <c r="C13" s="64">
        <v>134.94</v>
      </c>
      <c r="D13" s="29" t="s">
        <v>40</v>
      </c>
      <c r="E13" s="17" t="s">
        <v>132</v>
      </c>
      <c r="F13" s="65">
        <f>VLOOKUP(E13,'Labor Projections'!A$3:D$12,4,FALSE)</f>
        <v>85</v>
      </c>
      <c r="G13" s="65">
        <f t="shared" si="3"/>
        <v>0</v>
      </c>
      <c r="H13" s="10"/>
      <c r="I13" s="11">
        <f t="shared" si="4"/>
        <v>0</v>
      </c>
      <c r="J13" s="66">
        <f t="shared" si="5"/>
        <v>0</v>
      </c>
    </row>
    <row r="14" spans="1:10" x14ac:dyDescent="0.25">
      <c r="A14" s="18"/>
      <c r="B14" s="63" t="s">
        <v>18</v>
      </c>
      <c r="C14" s="64">
        <v>269.88</v>
      </c>
      <c r="D14" s="29" t="s">
        <v>40</v>
      </c>
      <c r="E14" s="17" t="s">
        <v>132</v>
      </c>
      <c r="F14" s="65">
        <f>VLOOKUP(E14,'Labor Projections'!A$3:D$12,4,FALSE)</f>
        <v>85</v>
      </c>
      <c r="G14" s="65">
        <f t="shared" si="3"/>
        <v>0</v>
      </c>
      <c r="H14" s="10"/>
      <c r="I14" s="11">
        <f t="shared" si="4"/>
        <v>0</v>
      </c>
      <c r="J14" s="66">
        <f t="shared" si="5"/>
        <v>0</v>
      </c>
    </row>
    <row r="15" spans="1:10" x14ac:dyDescent="0.25">
      <c r="A15" s="18"/>
      <c r="B15" s="63" t="s">
        <v>19</v>
      </c>
      <c r="C15" s="64">
        <v>539.76</v>
      </c>
      <c r="D15" s="29" t="s">
        <v>40</v>
      </c>
      <c r="E15" s="17" t="s">
        <v>132</v>
      </c>
      <c r="F15" s="65">
        <f>VLOOKUP(E15,'Labor Projections'!A$3:D$12,4,FALSE)</f>
        <v>85</v>
      </c>
      <c r="G15" s="65">
        <f t="shared" si="3"/>
        <v>0</v>
      </c>
      <c r="H15" s="10"/>
      <c r="I15" s="11">
        <f t="shared" si="4"/>
        <v>0</v>
      </c>
      <c r="J15" s="66">
        <f t="shared" si="5"/>
        <v>0</v>
      </c>
    </row>
    <row r="16" spans="1:10" ht="13.8" thickBot="1" x14ac:dyDescent="0.3">
      <c r="A16" s="18"/>
      <c r="B16" s="63" t="s">
        <v>20</v>
      </c>
      <c r="C16" s="64">
        <v>259.5</v>
      </c>
      <c r="D16" s="29" t="s">
        <v>40</v>
      </c>
      <c r="E16" s="17" t="s">
        <v>132</v>
      </c>
      <c r="F16" s="65">
        <f>VLOOKUP(E16,'Labor Projections'!A$3:D$12,4,FALSE)</f>
        <v>85</v>
      </c>
      <c r="G16" s="65">
        <f t="shared" si="3"/>
        <v>0</v>
      </c>
      <c r="H16" s="10"/>
      <c r="I16" s="11">
        <f t="shared" si="4"/>
        <v>0</v>
      </c>
      <c r="J16" s="66">
        <f t="shared" si="5"/>
        <v>0</v>
      </c>
    </row>
    <row r="17" spans="1:10" ht="15" thickBot="1" x14ac:dyDescent="0.3">
      <c r="A17" s="301" t="s">
        <v>116</v>
      </c>
      <c r="B17" s="323" t="s">
        <v>30</v>
      </c>
      <c r="C17" s="303" t="s">
        <v>165</v>
      </c>
      <c r="D17" s="304" t="s">
        <v>36</v>
      </c>
      <c r="E17" s="308" t="s">
        <v>133</v>
      </c>
      <c r="F17" s="324" t="s">
        <v>134</v>
      </c>
      <c r="G17" s="325">
        <f>SUM(G18:G21)</f>
        <v>0</v>
      </c>
      <c r="H17" s="8"/>
      <c r="I17" s="311">
        <f>SUM(I18:I21)</f>
        <v>0</v>
      </c>
      <c r="J17" s="326">
        <f>SUM(J18:J21)</f>
        <v>0</v>
      </c>
    </row>
    <row r="18" spans="1:10" x14ac:dyDescent="0.25">
      <c r="A18" s="18"/>
      <c r="B18" s="63" t="s">
        <v>31</v>
      </c>
      <c r="C18" s="64">
        <v>155.69999999999999</v>
      </c>
      <c r="D18" s="29" t="s">
        <v>38</v>
      </c>
      <c r="E18" s="17" t="s">
        <v>132</v>
      </c>
      <c r="F18" s="65">
        <f>VLOOKUP(E18,'Labor Projections'!A$3:D$12,4,FALSE)</f>
        <v>85</v>
      </c>
      <c r="G18" s="65">
        <f t="shared" ref="G18:G22" si="6">F18*I18</f>
        <v>0</v>
      </c>
      <c r="H18" s="10"/>
      <c r="I18" s="11">
        <f t="shared" ref="I18:I22" si="7">(A18*C18)/60</f>
        <v>0</v>
      </c>
      <c r="J18" s="66">
        <f t="shared" ref="J18:J22" si="8">IF(I18=0,0,I18/I$1)</f>
        <v>0</v>
      </c>
    </row>
    <row r="19" spans="1:10" x14ac:dyDescent="0.25">
      <c r="A19" s="18"/>
      <c r="B19" s="63" t="s">
        <v>32</v>
      </c>
      <c r="C19" s="64">
        <v>207.6</v>
      </c>
      <c r="D19" s="29" t="s">
        <v>38</v>
      </c>
      <c r="E19" s="17" t="s">
        <v>132</v>
      </c>
      <c r="F19" s="65">
        <f>VLOOKUP(E19,'Labor Projections'!A$3:D$12,4,FALSE)</f>
        <v>85</v>
      </c>
      <c r="G19" s="65">
        <f t="shared" si="6"/>
        <v>0</v>
      </c>
      <c r="H19" s="10"/>
      <c r="I19" s="11">
        <f t="shared" si="7"/>
        <v>0</v>
      </c>
      <c r="J19" s="66">
        <f t="shared" si="8"/>
        <v>0</v>
      </c>
    </row>
    <row r="20" spans="1:10" x14ac:dyDescent="0.25">
      <c r="A20" s="18"/>
      <c r="B20" s="63" t="s">
        <v>33</v>
      </c>
      <c r="C20" s="64">
        <v>415.2</v>
      </c>
      <c r="D20" s="29" t="s">
        <v>38</v>
      </c>
      <c r="E20" s="17" t="s">
        <v>132</v>
      </c>
      <c r="F20" s="65">
        <f>VLOOKUP(E20,'Labor Projections'!A$3:D$12,4,FALSE)</f>
        <v>85</v>
      </c>
      <c r="G20" s="65">
        <f t="shared" si="6"/>
        <v>0</v>
      </c>
      <c r="H20" s="10"/>
      <c r="I20" s="11">
        <f t="shared" si="7"/>
        <v>0</v>
      </c>
      <c r="J20" s="66">
        <f t="shared" si="8"/>
        <v>0</v>
      </c>
    </row>
    <row r="21" spans="1:10" x14ac:dyDescent="0.25">
      <c r="A21" s="18"/>
      <c r="B21" s="71"/>
      <c r="C21" s="17">
        <v>0</v>
      </c>
      <c r="D21" s="29" t="s">
        <v>38</v>
      </c>
      <c r="E21" s="17" t="s">
        <v>132</v>
      </c>
      <c r="F21" s="65">
        <f>VLOOKUP(E21,'Labor Projections'!A$3:D$12,4,FALSE)</f>
        <v>85</v>
      </c>
      <c r="G21" s="65">
        <f t="shared" si="6"/>
        <v>0</v>
      </c>
      <c r="H21" s="10"/>
      <c r="I21" s="11">
        <f t="shared" si="7"/>
        <v>0</v>
      </c>
      <c r="J21" s="66">
        <f t="shared" si="8"/>
        <v>0</v>
      </c>
    </row>
    <row r="22" spans="1:10" ht="13.8" thickBot="1" x14ac:dyDescent="0.3">
      <c r="A22" s="18"/>
      <c r="B22" s="71"/>
      <c r="C22" s="17">
        <v>0</v>
      </c>
      <c r="D22" s="29" t="s">
        <v>38</v>
      </c>
      <c r="E22" s="17" t="s">
        <v>132</v>
      </c>
      <c r="F22" s="65">
        <f>VLOOKUP(E22,'Labor Projections'!A$3:D$12,4,FALSE)</f>
        <v>85</v>
      </c>
      <c r="G22" s="65">
        <f t="shared" si="6"/>
        <v>0</v>
      </c>
      <c r="H22" s="10"/>
      <c r="I22" s="11">
        <f t="shared" si="7"/>
        <v>0</v>
      </c>
      <c r="J22" s="66">
        <f t="shared" si="8"/>
        <v>0</v>
      </c>
    </row>
    <row r="23" spans="1:10" ht="15" thickBot="1" x14ac:dyDescent="0.3">
      <c r="A23" s="301" t="s">
        <v>116</v>
      </c>
      <c r="B23" s="323" t="s">
        <v>160</v>
      </c>
      <c r="C23" s="303" t="s">
        <v>35</v>
      </c>
      <c r="D23" s="304" t="s">
        <v>36</v>
      </c>
      <c r="E23" s="308" t="s">
        <v>133</v>
      </c>
      <c r="F23" s="324" t="s">
        <v>134</v>
      </c>
      <c r="G23" s="325">
        <f>SUM(G24:G28)</f>
        <v>0</v>
      </c>
      <c r="H23" s="8"/>
      <c r="I23" s="311">
        <f>SUM(I24:I28)</f>
        <v>0</v>
      </c>
      <c r="J23" s="326">
        <f>SUM(J24:J28)</f>
        <v>0</v>
      </c>
    </row>
    <row r="24" spans="1:10" x14ac:dyDescent="0.25">
      <c r="A24" s="18"/>
      <c r="B24" s="71" t="s">
        <v>302</v>
      </c>
      <c r="C24" s="17">
        <v>60</v>
      </c>
      <c r="D24" s="289">
        <v>0.1</v>
      </c>
      <c r="E24" s="17" t="s">
        <v>132</v>
      </c>
      <c r="F24" s="65">
        <f>VLOOKUP(E24,'Labor Projections'!A$3:D$12,4,FALSE)</f>
        <v>85</v>
      </c>
      <c r="G24" s="65">
        <f>F24*I24</f>
        <v>0</v>
      </c>
      <c r="H24" s="10"/>
      <c r="I24" s="11">
        <f t="shared" ref="I24:I31" si="9">(A24*C24)/60</f>
        <v>0</v>
      </c>
      <c r="J24" s="66">
        <f t="shared" ref="J24:J31" si="10">IF(I24=0,0,I24/I$1)</f>
        <v>0</v>
      </c>
    </row>
    <row r="25" spans="1:10" x14ac:dyDescent="0.25">
      <c r="A25" s="18"/>
      <c r="B25" s="71" t="s">
        <v>302</v>
      </c>
      <c r="C25" s="17">
        <v>60</v>
      </c>
      <c r="D25" s="29" t="s">
        <v>38</v>
      </c>
      <c r="E25" s="17" t="s">
        <v>28</v>
      </c>
      <c r="F25" s="65">
        <f>VLOOKUP(E25,'Labor Projections'!A$3:D$12,4,FALSE)</f>
        <v>95</v>
      </c>
      <c r="G25" s="65">
        <f t="shared" ref="G25:G31" si="11">F25*I25</f>
        <v>0</v>
      </c>
      <c r="H25" s="10"/>
      <c r="I25" s="11">
        <f t="shared" si="9"/>
        <v>0</v>
      </c>
      <c r="J25" s="66">
        <f t="shared" si="10"/>
        <v>0</v>
      </c>
    </row>
    <row r="26" spans="1:10" x14ac:dyDescent="0.25">
      <c r="A26" s="18"/>
      <c r="B26" s="71" t="s">
        <v>357</v>
      </c>
      <c r="C26" s="17">
        <v>60</v>
      </c>
      <c r="D26" s="29" t="s">
        <v>38</v>
      </c>
      <c r="E26" s="17" t="s">
        <v>28</v>
      </c>
      <c r="F26" s="65">
        <f>VLOOKUP(E26,'Labor Projections'!A$3:D$12,4,FALSE)</f>
        <v>95</v>
      </c>
      <c r="G26" s="65">
        <f t="shared" si="11"/>
        <v>0</v>
      </c>
      <c r="H26" s="10"/>
      <c r="I26" s="11">
        <f t="shared" si="9"/>
        <v>0</v>
      </c>
      <c r="J26" s="66">
        <f t="shared" si="10"/>
        <v>0</v>
      </c>
    </row>
    <row r="27" spans="1:10" x14ac:dyDescent="0.25">
      <c r="A27" s="18"/>
      <c r="B27" s="71" t="s">
        <v>496</v>
      </c>
      <c r="C27" s="17">
        <v>60</v>
      </c>
      <c r="D27" s="29" t="s">
        <v>38</v>
      </c>
      <c r="E27" s="17" t="s">
        <v>132</v>
      </c>
      <c r="F27" s="65">
        <f>VLOOKUP(E27,'Labor Projections'!A$3:D$12,4,FALSE)</f>
        <v>85</v>
      </c>
      <c r="G27" s="65">
        <f t="shared" si="11"/>
        <v>0</v>
      </c>
      <c r="H27" s="10"/>
      <c r="I27" s="11">
        <f t="shared" si="9"/>
        <v>0</v>
      </c>
      <c r="J27" s="66">
        <f t="shared" si="10"/>
        <v>0</v>
      </c>
    </row>
    <row r="28" spans="1:10" x14ac:dyDescent="0.25">
      <c r="A28" s="18"/>
      <c r="B28" s="71"/>
      <c r="C28" s="17">
        <v>0</v>
      </c>
      <c r="D28" s="29" t="s">
        <v>38</v>
      </c>
      <c r="E28" s="17" t="s">
        <v>132</v>
      </c>
      <c r="F28" s="65">
        <f>VLOOKUP(E28,'Labor Projections'!A$3:D$12,4,FALSE)</f>
        <v>85</v>
      </c>
      <c r="G28" s="65">
        <f t="shared" si="11"/>
        <v>0</v>
      </c>
      <c r="H28" s="10"/>
      <c r="I28" s="11">
        <f t="shared" si="9"/>
        <v>0</v>
      </c>
      <c r="J28" s="66">
        <f t="shared" si="10"/>
        <v>0</v>
      </c>
    </row>
    <row r="29" spans="1:10" x14ac:dyDescent="0.25">
      <c r="A29" s="18"/>
      <c r="B29" s="71"/>
      <c r="C29" s="17">
        <v>0</v>
      </c>
      <c r="D29" s="29" t="s">
        <v>38</v>
      </c>
      <c r="E29" s="17" t="s">
        <v>132</v>
      </c>
      <c r="F29" s="65">
        <f>VLOOKUP(E29,'Labor Projections'!A$3:D$12,4,FALSE)</f>
        <v>85</v>
      </c>
      <c r="G29" s="65">
        <f t="shared" si="11"/>
        <v>0</v>
      </c>
      <c r="H29" s="10"/>
      <c r="I29" s="11">
        <f t="shared" si="9"/>
        <v>0</v>
      </c>
      <c r="J29" s="66">
        <f t="shared" si="10"/>
        <v>0</v>
      </c>
    </row>
    <row r="30" spans="1:10" x14ac:dyDescent="0.25">
      <c r="A30" s="18"/>
      <c r="B30" s="71"/>
      <c r="C30" s="17">
        <v>0</v>
      </c>
      <c r="D30" s="29" t="s">
        <v>38</v>
      </c>
      <c r="E30" s="17" t="s">
        <v>132</v>
      </c>
      <c r="F30" s="65">
        <f>VLOOKUP(E30,'Labor Projections'!A$3:D$12,4,FALSE)</f>
        <v>85</v>
      </c>
      <c r="G30" s="65">
        <f t="shared" si="11"/>
        <v>0</v>
      </c>
      <c r="H30" s="10"/>
      <c r="I30" s="11">
        <f t="shared" si="9"/>
        <v>0</v>
      </c>
      <c r="J30" s="66">
        <f t="shared" si="10"/>
        <v>0</v>
      </c>
    </row>
    <row r="31" spans="1:10" ht="13.8" thickBot="1" x14ac:dyDescent="0.3">
      <c r="A31" s="18"/>
      <c r="B31" s="71"/>
      <c r="C31" s="17">
        <v>0</v>
      </c>
      <c r="D31" s="29" t="s">
        <v>38</v>
      </c>
      <c r="E31" s="17" t="s">
        <v>132</v>
      </c>
      <c r="F31" s="65">
        <f>VLOOKUP(E31,'Labor Projections'!A$3:D$12,4,FALSE)</f>
        <v>85</v>
      </c>
      <c r="G31" s="65">
        <f t="shared" si="11"/>
        <v>0</v>
      </c>
      <c r="H31" s="10"/>
      <c r="I31" s="11">
        <f t="shared" si="9"/>
        <v>0</v>
      </c>
      <c r="J31" s="66">
        <f t="shared" si="10"/>
        <v>0</v>
      </c>
    </row>
    <row r="32" spans="1:10" ht="13.8" thickBot="1" x14ac:dyDescent="0.3">
      <c r="E32" s="317" t="str">
        <f>'Labor Projections'!A3</f>
        <v>Technician</v>
      </c>
      <c r="F32" s="318" t="s">
        <v>115</v>
      </c>
      <c r="G32" s="67">
        <f ca="1">SUMIF(E$4:G$31,E32,G$4:G$31)</f>
        <v>0</v>
      </c>
      <c r="H32" s="8"/>
      <c r="I32" s="68">
        <f ca="1">SUMIF(E$4:G$31,E32,I$4:I$31)</f>
        <v>0</v>
      </c>
    </row>
    <row r="33" spans="5:9" ht="13.8" thickBot="1" x14ac:dyDescent="0.3">
      <c r="E33" s="317" t="str">
        <f>'Labor Projections'!A4</f>
        <v>Construction Manager</v>
      </c>
      <c r="F33" s="318" t="s">
        <v>115</v>
      </c>
      <c r="G33" s="69">
        <f ca="1">SUMIF(E$4:G$31,E33,G$4:G$31)</f>
        <v>0</v>
      </c>
      <c r="H33" s="8"/>
      <c r="I33" s="70">
        <f ca="1">SUMIF(E$4:G$31,E33,I$4:I$31)</f>
        <v>0</v>
      </c>
    </row>
    <row r="34" spans="5:9" ht="13.8" thickBot="1" x14ac:dyDescent="0.3">
      <c r="E34" s="317" t="str">
        <f>'Labor Projections'!A5</f>
        <v>RF-Engineer</v>
      </c>
      <c r="F34" s="318" t="s">
        <v>115</v>
      </c>
      <c r="G34" s="69">
        <f ca="1">SUMIF(E$4:G$31,E34,G$4:G$31)</f>
        <v>0</v>
      </c>
      <c r="H34" s="8"/>
      <c r="I34" s="70">
        <f ca="1">SUMIF(E$4:G$31,E34,I$4:I$31)</f>
        <v>0</v>
      </c>
    </row>
    <row r="35" spans="5:9" ht="13.8" thickBot="1" x14ac:dyDescent="0.3">
      <c r="E35" s="317" t="str">
        <f>'Labor Projections'!A6</f>
        <v>RF-Technician</v>
      </c>
      <c r="F35" s="318" t="s">
        <v>115</v>
      </c>
      <c r="G35" s="69">
        <f ca="1">SUMIF(E$4:G$31,E35,G$4:G$31)</f>
        <v>0</v>
      </c>
      <c r="H35" s="8"/>
      <c r="I35" s="70">
        <f ca="1">SUMIF(E$4:G$31,E35,I$4:I$31)</f>
        <v>0</v>
      </c>
    </row>
    <row r="36" spans="5:9" ht="13.8" thickBot="1" x14ac:dyDescent="0.3">
      <c r="E36" s="317" t="str">
        <f>'Labor Projections'!A7</f>
        <v>Project Coordinator</v>
      </c>
      <c r="F36" s="320" t="s">
        <v>115</v>
      </c>
      <c r="G36" s="69">
        <f ca="1">SUMIF(E$4:G$31,E36,G$4:G$31)</f>
        <v>0</v>
      </c>
      <c r="H36" s="8"/>
      <c r="I36" s="70">
        <f ca="1">SUMIF(E$4:G$31,E36,I$4:I$31)</f>
        <v>0</v>
      </c>
    </row>
    <row r="37" spans="5:9" ht="13.8" thickBot="1" x14ac:dyDescent="0.3">
      <c r="E37" s="317" t="str">
        <f>'Labor Projections'!A8</f>
        <v>Project Manager</v>
      </c>
      <c r="F37" s="320" t="s">
        <v>115</v>
      </c>
      <c r="G37" s="69">
        <f ca="1">SUMIF(E$4:G$31,E37,G$4:G$31)</f>
        <v>0</v>
      </c>
      <c r="H37" s="8"/>
      <c r="I37" s="70">
        <f ca="1">SUMIF(E$4:G$31,E37,I$4:I$31)</f>
        <v>0</v>
      </c>
    </row>
    <row r="38" spans="5:9" ht="13.8" thickBot="1" x14ac:dyDescent="0.3">
      <c r="E38" s="319" t="s">
        <v>137</v>
      </c>
      <c r="F38" s="320" t="s">
        <v>115</v>
      </c>
      <c r="G38" s="69">
        <f ca="1">SUM(G32:G37)</f>
        <v>0</v>
      </c>
      <c r="H38" s="8"/>
      <c r="I38" s="70">
        <f ca="1">SUM(I32:I37)</f>
        <v>0</v>
      </c>
    </row>
  </sheetData>
  <sheetProtection autoFilter="0"/>
  <autoFilter ref="A2:J31" xr:uid="{9443589B-F682-4639-90A0-92B5F0A182A3}"/>
  <mergeCells count="3">
    <mergeCell ref="A1:B1"/>
    <mergeCell ref="C1:D1"/>
    <mergeCell ref="E1:F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E691D4-413A-4FF8-A771-F40FCE19DDDA}">
          <x14:formula1>
            <xm:f>'Labor Projections'!$A$3:$A$8</xm:f>
          </x14:formula1>
          <xm:sqref>E1:E31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78"/>
  <sheetViews>
    <sheetView zoomScaleNormal="100" zoomScalePageLayoutView="200" workbookViewId="0">
      <pane ySplit="2" topLeftCell="A3" activePane="bottomLeft" state="frozen"/>
      <selection pane="bottomLeft" activeCell="C5" sqref="C5:C6"/>
    </sheetView>
  </sheetViews>
  <sheetFormatPr defaultColWidth="8.77734375" defaultRowHeight="14.4" x14ac:dyDescent="0.3"/>
  <cols>
    <col min="1" max="1" width="20.77734375" style="94" bestFit="1" customWidth="1"/>
    <col min="2" max="2" width="20.77734375" style="94" customWidth="1"/>
    <col min="3" max="3" width="17.21875" style="108" customWidth="1"/>
    <col min="4" max="4" width="47.5546875" style="108" customWidth="1"/>
    <col min="5" max="5" width="17.77734375" style="94" bestFit="1" customWidth="1"/>
    <col min="6" max="6" width="5.21875" style="98" customWidth="1"/>
    <col min="7" max="7" width="55.109375" style="98" customWidth="1"/>
    <col min="8" max="8" width="15.5546875" style="94" bestFit="1" customWidth="1"/>
    <col min="9" max="9" width="18.21875" style="94" bestFit="1" customWidth="1"/>
    <col min="10" max="10" width="17.5546875" style="94" bestFit="1" customWidth="1"/>
    <col min="11" max="11" width="17.44140625" style="95" bestFit="1" customWidth="1"/>
    <col min="12" max="12" width="8" style="95" bestFit="1" customWidth="1"/>
    <col min="13" max="13" width="13.77734375" style="94" bestFit="1" customWidth="1"/>
    <col min="14" max="14" width="15.5546875" style="94" bestFit="1" customWidth="1"/>
    <col min="15" max="15" width="17.44140625" style="94" bestFit="1" customWidth="1"/>
    <col min="16" max="16" width="1.44140625" style="94" customWidth="1"/>
    <col min="17" max="17" width="16.5546875" style="94" bestFit="1" customWidth="1"/>
    <col min="18" max="18" width="9.5546875" style="94" bestFit="1" customWidth="1"/>
    <col min="19" max="19" width="1.44140625" style="94" customWidth="1"/>
    <col min="20" max="20" width="16" style="94" bestFit="1" customWidth="1"/>
    <col min="21" max="21" width="11.44140625" style="94" bestFit="1" customWidth="1"/>
    <col min="22" max="22" width="14.77734375" style="94" customWidth="1"/>
    <col min="23" max="24" width="17.21875" style="94" bestFit="1" customWidth="1"/>
    <col min="25" max="25" width="1.44140625" style="94" customWidth="1"/>
    <col min="26" max="28" width="17.21875" style="94" customWidth="1"/>
    <col min="29" max="29" width="8.77734375" style="94"/>
    <col min="30" max="30" width="9" style="94" bestFit="1" customWidth="1"/>
    <col min="31" max="31" width="12.77734375" style="94" customWidth="1"/>
    <col min="32" max="16384" width="8.77734375" style="94"/>
  </cols>
  <sheetData>
    <row r="1" spans="1:31" ht="15" thickBot="1" x14ac:dyDescent="0.35">
      <c r="A1" s="429" t="s">
        <v>122</v>
      </c>
      <c r="B1" s="430"/>
      <c r="C1" s="430"/>
      <c r="D1" s="427" t="s">
        <v>123</v>
      </c>
      <c r="E1" s="428"/>
      <c r="F1" s="93"/>
      <c r="G1" s="93"/>
    </row>
    <row r="2" spans="1:31" ht="15.75" customHeight="1" thickBot="1" x14ac:dyDescent="0.35">
      <c r="A2" s="434" t="s">
        <v>162</v>
      </c>
      <c r="B2" s="435"/>
      <c r="C2" s="436"/>
      <c r="D2" s="96" t="s">
        <v>163</v>
      </c>
      <c r="E2" s="272">
        <f ca="1">SUM(E11,E21,E31,E41,E58,E72)</f>
        <v>0</v>
      </c>
      <c r="F2" s="93"/>
      <c r="G2" s="93"/>
    </row>
    <row r="3" spans="1:31" ht="15" thickBot="1" x14ac:dyDescent="0.35">
      <c r="A3" s="431" t="s">
        <v>27</v>
      </c>
      <c r="B3" s="432"/>
      <c r="C3" s="432"/>
      <c r="D3" s="432"/>
      <c r="E3" s="433"/>
      <c r="F3" s="97"/>
      <c r="H3" s="99"/>
      <c r="I3" s="93"/>
      <c r="M3" s="99"/>
      <c r="N3" s="93"/>
      <c r="Q3" s="99"/>
      <c r="R3" s="93"/>
      <c r="S3" s="93"/>
      <c r="V3" s="99"/>
      <c r="W3" s="93"/>
      <c r="Z3" s="99"/>
      <c r="AA3" s="93"/>
      <c r="AD3" s="100"/>
      <c r="AE3" s="101"/>
    </row>
    <row r="4" spans="1:31" ht="29.4" thickBot="1" x14ac:dyDescent="0.35">
      <c r="A4" s="327" t="s">
        <v>133</v>
      </c>
      <c r="B4" s="328" t="s">
        <v>23</v>
      </c>
      <c r="C4" s="328" t="s">
        <v>233</v>
      </c>
      <c r="D4" s="328" t="s">
        <v>21</v>
      </c>
      <c r="E4" s="328" t="s">
        <v>119</v>
      </c>
      <c r="F4" s="328" t="s">
        <v>303</v>
      </c>
      <c r="H4" s="99"/>
      <c r="I4" s="93"/>
      <c r="M4" s="99"/>
      <c r="N4" s="93"/>
      <c r="Q4" s="99"/>
      <c r="R4" s="93"/>
      <c r="S4" s="93"/>
      <c r="V4" s="99"/>
      <c r="W4" s="93"/>
      <c r="Z4" s="99"/>
      <c r="AA4" s="93"/>
      <c r="AD4" s="100"/>
      <c r="AE4" s="101"/>
    </row>
    <row r="5" spans="1:31" x14ac:dyDescent="0.3">
      <c r="A5" s="33" t="str">
        <f>'Labor Projections'!A$3</f>
        <v>Technician</v>
      </c>
      <c r="B5" s="102">
        <v>50</v>
      </c>
      <c r="C5" s="110"/>
      <c r="D5" s="273">
        <f ca="1">'Labor Projections'!D23</f>
        <v>0</v>
      </c>
      <c r="E5" s="102">
        <f t="shared" ref="E5:E10" ca="1" si="0">(D5*B5)*C5</f>
        <v>0</v>
      </c>
      <c r="F5" s="273">
        <f t="shared" ref="F5:F10" ca="1" si="1">C5*D5</f>
        <v>0</v>
      </c>
      <c r="H5" s="99"/>
      <c r="I5" s="93"/>
      <c r="M5" s="99"/>
      <c r="N5" s="93"/>
      <c r="Q5" s="99"/>
      <c r="R5" s="93"/>
      <c r="S5" s="93"/>
      <c r="V5" s="99"/>
      <c r="W5" s="93"/>
      <c r="Z5" s="99"/>
      <c r="AA5" s="93"/>
      <c r="AD5" s="100"/>
      <c r="AE5" s="101"/>
    </row>
    <row r="6" spans="1:31" x14ac:dyDescent="0.3">
      <c r="A6" s="33" t="str">
        <f>'Labor Projections'!A$4</f>
        <v>Construction Manager</v>
      </c>
      <c r="B6" s="102">
        <v>50</v>
      </c>
      <c r="C6" s="110"/>
      <c r="D6" s="273">
        <f ca="1">'Labor Projections'!D23</f>
        <v>0</v>
      </c>
      <c r="E6" s="102">
        <f t="shared" ca="1" si="0"/>
        <v>0</v>
      </c>
      <c r="F6" s="273">
        <f t="shared" ca="1" si="1"/>
        <v>0</v>
      </c>
      <c r="H6" s="99"/>
      <c r="I6" s="93"/>
      <c r="M6" s="99"/>
      <c r="N6" s="93"/>
      <c r="Q6" s="99"/>
      <c r="R6" s="93"/>
      <c r="S6" s="93"/>
      <c r="V6" s="99"/>
      <c r="W6" s="93"/>
      <c r="Z6" s="99"/>
      <c r="AA6" s="93"/>
      <c r="AD6" s="100"/>
      <c r="AE6" s="101"/>
    </row>
    <row r="7" spans="1:31" x14ac:dyDescent="0.3">
      <c r="A7" s="33" t="str">
        <f>'Labor Projections'!A$5</f>
        <v>RF-Engineer</v>
      </c>
      <c r="B7" s="102">
        <v>50</v>
      </c>
      <c r="C7" s="110"/>
      <c r="D7" s="110"/>
      <c r="E7" s="102">
        <f t="shared" si="0"/>
        <v>0</v>
      </c>
      <c r="F7" s="273">
        <f t="shared" si="1"/>
        <v>0</v>
      </c>
      <c r="H7" s="99"/>
      <c r="I7" s="93"/>
      <c r="M7" s="99"/>
      <c r="N7" s="93"/>
      <c r="Q7" s="99"/>
      <c r="R7" s="93"/>
      <c r="S7" s="93"/>
      <c r="V7" s="99"/>
      <c r="W7" s="93"/>
      <c r="Z7" s="99"/>
      <c r="AA7" s="93"/>
      <c r="AD7" s="100"/>
      <c r="AE7" s="101"/>
    </row>
    <row r="8" spans="1:31" x14ac:dyDescent="0.3">
      <c r="A8" s="33" t="str">
        <f>'Labor Projections'!A$6</f>
        <v>RF-Technician</v>
      </c>
      <c r="B8" s="102">
        <v>50</v>
      </c>
      <c r="C8" s="110"/>
      <c r="D8" s="110"/>
      <c r="E8" s="102">
        <f t="shared" si="0"/>
        <v>0</v>
      </c>
      <c r="F8" s="273">
        <f t="shared" si="1"/>
        <v>0</v>
      </c>
      <c r="H8" s="99"/>
      <c r="I8" s="93"/>
      <c r="M8" s="99"/>
      <c r="N8" s="93"/>
      <c r="Q8" s="99"/>
      <c r="R8" s="93"/>
      <c r="S8" s="93"/>
      <c r="V8" s="99"/>
      <c r="W8" s="93"/>
      <c r="Z8" s="99"/>
      <c r="AA8" s="93"/>
      <c r="AD8" s="100"/>
      <c r="AE8" s="101"/>
    </row>
    <row r="9" spans="1:31" x14ac:dyDescent="0.3">
      <c r="A9" s="33" t="str">
        <f>'Labor Projections'!A$7</f>
        <v>Project Coordinator</v>
      </c>
      <c r="B9" s="102">
        <v>50</v>
      </c>
      <c r="C9" s="110"/>
      <c r="D9" s="110"/>
      <c r="E9" s="102">
        <f t="shared" si="0"/>
        <v>0</v>
      </c>
      <c r="F9" s="273">
        <f t="shared" si="1"/>
        <v>0</v>
      </c>
      <c r="H9" s="99"/>
      <c r="I9" s="93"/>
      <c r="M9" s="99"/>
      <c r="N9" s="93"/>
      <c r="Q9" s="99"/>
      <c r="R9" s="93"/>
      <c r="S9" s="93"/>
      <c r="V9" s="99"/>
      <c r="W9" s="93"/>
      <c r="Z9" s="99"/>
      <c r="AA9" s="93"/>
      <c r="AD9" s="100"/>
      <c r="AE9" s="101"/>
    </row>
    <row r="10" spans="1:31" ht="15" thickBot="1" x14ac:dyDescent="0.35">
      <c r="A10" s="33" t="str">
        <f>'Labor Projections'!A$8</f>
        <v>Project Manager</v>
      </c>
      <c r="B10" s="102">
        <v>50</v>
      </c>
      <c r="C10" s="110"/>
      <c r="D10" s="110"/>
      <c r="E10" s="102">
        <f t="shared" si="0"/>
        <v>0</v>
      </c>
      <c r="F10" s="273">
        <f t="shared" si="1"/>
        <v>0</v>
      </c>
      <c r="H10" s="99"/>
      <c r="I10" s="93"/>
      <c r="M10" s="99"/>
      <c r="N10" s="93"/>
      <c r="Q10" s="99"/>
      <c r="R10" s="93"/>
      <c r="S10" s="93"/>
      <c r="V10" s="99"/>
      <c r="W10" s="93"/>
      <c r="Z10" s="99"/>
      <c r="AA10" s="93"/>
      <c r="AD10" s="100"/>
      <c r="AE10" s="101"/>
    </row>
    <row r="11" spans="1:31" ht="21.6" thickBot="1" x14ac:dyDescent="0.35">
      <c r="A11" s="103"/>
      <c r="B11" s="103"/>
      <c r="C11" s="104"/>
      <c r="D11" s="96" t="s">
        <v>152</v>
      </c>
      <c r="E11" s="105">
        <f ca="1">SUM(E5:E10)</f>
        <v>0</v>
      </c>
      <c r="F11" s="277">
        <f ca="1">SUM(F5:F10)</f>
        <v>0</v>
      </c>
      <c r="H11" s="99"/>
      <c r="I11" s="93"/>
      <c r="M11" s="99"/>
      <c r="N11" s="93"/>
      <c r="Q11" s="99"/>
      <c r="R11" s="93"/>
      <c r="S11" s="93"/>
      <c r="V11" s="99"/>
      <c r="W11" s="93"/>
      <c r="Z11" s="99"/>
      <c r="AA11" s="93"/>
      <c r="AD11" s="100"/>
      <c r="AE11" s="101"/>
    </row>
    <row r="12" spans="1:31" ht="15" thickBot="1" x14ac:dyDescent="0.35">
      <c r="A12" s="103"/>
      <c r="B12" s="103"/>
      <c r="C12" s="104"/>
      <c r="D12" s="104"/>
      <c r="E12" s="103"/>
      <c r="F12" s="97"/>
      <c r="H12" s="99"/>
      <c r="I12" s="93"/>
      <c r="M12" s="99"/>
      <c r="N12" s="93"/>
      <c r="Q12" s="99"/>
      <c r="R12" s="93"/>
      <c r="S12" s="93"/>
      <c r="V12" s="99"/>
      <c r="W12" s="93"/>
      <c r="Z12" s="99"/>
      <c r="AA12" s="93"/>
      <c r="AD12" s="100"/>
      <c r="AE12" s="101"/>
    </row>
    <row r="13" spans="1:31" ht="15" thickBot="1" x14ac:dyDescent="0.35">
      <c r="A13" s="431" t="s">
        <v>26</v>
      </c>
      <c r="B13" s="432"/>
      <c r="C13" s="432"/>
      <c r="D13" s="432"/>
      <c r="E13" s="433"/>
      <c r="F13" s="97"/>
      <c r="G13" s="106"/>
      <c r="H13" s="99"/>
      <c r="I13" s="93"/>
      <c r="M13" s="99"/>
      <c r="N13" s="93"/>
      <c r="Q13" s="99"/>
      <c r="R13" s="93"/>
      <c r="S13" s="93"/>
      <c r="V13" s="99"/>
      <c r="W13" s="93"/>
      <c r="Z13" s="99"/>
      <c r="AA13" s="93"/>
      <c r="AD13" s="100"/>
      <c r="AE13" s="101"/>
    </row>
    <row r="14" spans="1:31" ht="29.4" thickBot="1" x14ac:dyDescent="0.35">
      <c r="A14" s="327" t="s">
        <v>133</v>
      </c>
      <c r="B14" s="328" t="s">
        <v>23</v>
      </c>
      <c r="C14" s="328" t="s">
        <v>233</v>
      </c>
      <c r="D14" s="328" t="s">
        <v>21</v>
      </c>
      <c r="E14" s="328" t="s">
        <v>119</v>
      </c>
      <c r="F14" s="328" t="s">
        <v>303</v>
      </c>
      <c r="H14" s="99"/>
      <c r="I14" s="93"/>
      <c r="M14" s="99"/>
      <c r="N14" s="93"/>
      <c r="Q14" s="99"/>
      <c r="R14" s="93"/>
      <c r="S14" s="93"/>
      <c r="V14" s="99"/>
      <c r="W14" s="93"/>
      <c r="Z14" s="99"/>
      <c r="AA14" s="93"/>
      <c r="AD14" s="100"/>
      <c r="AE14" s="101"/>
    </row>
    <row r="15" spans="1:31" x14ac:dyDescent="0.3">
      <c r="A15" s="42" t="str">
        <f>'Labor Projections'!A$3</f>
        <v>Technician</v>
      </c>
      <c r="B15" s="261">
        <v>120</v>
      </c>
      <c r="C15" s="110"/>
      <c r="D15" s="273">
        <f ca="1">'Labor Projections'!D23</f>
        <v>0</v>
      </c>
      <c r="E15" s="102">
        <f t="shared" ref="E15:E20" ca="1" si="2">(D15*B15)*C15</f>
        <v>0</v>
      </c>
      <c r="F15" s="273">
        <f t="shared" ref="F15:F20" ca="1" si="3">C15*D15</f>
        <v>0</v>
      </c>
      <c r="H15" s="99"/>
      <c r="I15" s="93"/>
      <c r="M15" s="99"/>
      <c r="N15" s="93"/>
      <c r="Q15" s="99"/>
      <c r="R15" s="93"/>
      <c r="S15" s="93"/>
      <c r="V15" s="99"/>
      <c r="W15" s="93"/>
      <c r="Z15" s="99"/>
      <c r="AA15" s="93"/>
      <c r="AD15" s="100"/>
      <c r="AE15" s="101"/>
    </row>
    <row r="16" spans="1:31" x14ac:dyDescent="0.3">
      <c r="A16" s="33" t="str">
        <f>'Labor Projections'!A$4</f>
        <v>Construction Manager</v>
      </c>
      <c r="B16" s="261">
        <v>120</v>
      </c>
      <c r="C16" s="110"/>
      <c r="D16" s="273">
        <f ca="1">'Labor Projections'!D23</f>
        <v>0</v>
      </c>
      <c r="E16" s="102">
        <f t="shared" ca="1" si="2"/>
        <v>0</v>
      </c>
      <c r="F16" s="273">
        <f t="shared" ca="1" si="3"/>
        <v>0</v>
      </c>
      <c r="H16" s="99"/>
      <c r="I16" s="93"/>
      <c r="M16" s="99"/>
      <c r="N16" s="93"/>
      <c r="Q16" s="99"/>
      <c r="R16" s="93"/>
      <c r="S16" s="93"/>
      <c r="V16" s="99"/>
      <c r="W16" s="93"/>
      <c r="Z16" s="99"/>
      <c r="AA16" s="93"/>
      <c r="AD16" s="100"/>
      <c r="AE16" s="101"/>
    </row>
    <row r="17" spans="1:31" x14ac:dyDescent="0.3">
      <c r="A17" s="33" t="str">
        <f>'Labor Projections'!A$5</f>
        <v>RF-Engineer</v>
      </c>
      <c r="B17" s="261">
        <v>120</v>
      </c>
      <c r="C17" s="110"/>
      <c r="D17" s="110"/>
      <c r="E17" s="102">
        <f t="shared" si="2"/>
        <v>0</v>
      </c>
      <c r="F17" s="273">
        <f t="shared" si="3"/>
        <v>0</v>
      </c>
      <c r="H17" s="99"/>
      <c r="I17" s="93"/>
      <c r="M17" s="99"/>
      <c r="N17" s="93"/>
      <c r="Q17" s="99"/>
      <c r="R17" s="93"/>
      <c r="S17" s="93"/>
      <c r="V17" s="99"/>
      <c r="W17" s="93"/>
      <c r="Z17" s="99"/>
      <c r="AA17" s="93"/>
      <c r="AD17" s="100"/>
      <c r="AE17" s="101"/>
    </row>
    <row r="18" spans="1:31" x14ac:dyDescent="0.3">
      <c r="A18" s="33" t="str">
        <f>'Labor Projections'!A$6</f>
        <v>RF-Technician</v>
      </c>
      <c r="B18" s="261">
        <v>120</v>
      </c>
      <c r="C18" s="110"/>
      <c r="D18" s="110"/>
      <c r="E18" s="102">
        <f t="shared" si="2"/>
        <v>0</v>
      </c>
      <c r="F18" s="273">
        <f t="shared" si="3"/>
        <v>0</v>
      </c>
      <c r="G18" s="106"/>
      <c r="H18" s="99"/>
      <c r="I18" s="93"/>
      <c r="M18" s="99"/>
      <c r="N18" s="93"/>
      <c r="Q18" s="99"/>
      <c r="R18" s="93"/>
      <c r="S18" s="93"/>
      <c r="V18" s="99"/>
      <c r="W18" s="93"/>
      <c r="Z18" s="99"/>
      <c r="AA18" s="93"/>
      <c r="AD18" s="100"/>
      <c r="AE18" s="101"/>
    </row>
    <row r="19" spans="1:31" x14ac:dyDescent="0.3">
      <c r="A19" s="33" t="str">
        <f>'Labor Projections'!A$7</f>
        <v>Project Coordinator</v>
      </c>
      <c r="B19" s="261">
        <v>120</v>
      </c>
      <c r="C19" s="110"/>
      <c r="D19" s="110"/>
      <c r="E19" s="102">
        <f t="shared" si="2"/>
        <v>0</v>
      </c>
      <c r="F19" s="273">
        <f t="shared" si="3"/>
        <v>0</v>
      </c>
      <c r="H19" s="99"/>
      <c r="I19" s="93"/>
      <c r="M19" s="99"/>
      <c r="N19" s="93"/>
      <c r="Q19" s="99"/>
      <c r="R19" s="93"/>
      <c r="S19" s="93"/>
      <c r="V19" s="99"/>
      <c r="W19" s="93"/>
      <c r="Z19" s="99"/>
      <c r="AA19" s="93"/>
      <c r="AD19" s="100"/>
      <c r="AE19" s="101"/>
    </row>
    <row r="20" spans="1:31" ht="15" thickBot="1" x14ac:dyDescent="0.35">
      <c r="A20" s="33" t="str">
        <f>'Labor Projections'!A$8</f>
        <v>Project Manager</v>
      </c>
      <c r="B20" s="261">
        <v>120</v>
      </c>
      <c r="C20" s="110"/>
      <c r="D20" s="110"/>
      <c r="E20" s="102">
        <f t="shared" si="2"/>
        <v>0</v>
      </c>
      <c r="F20" s="273">
        <f t="shared" si="3"/>
        <v>0</v>
      </c>
      <c r="H20" s="99"/>
      <c r="I20" s="93"/>
      <c r="M20" s="99"/>
      <c r="N20" s="93"/>
      <c r="Q20" s="99"/>
      <c r="R20" s="93"/>
      <c r="S20" s="93"/>
      <c r="V20" s="99"/>
      <c r="W20" s="93"/>
      <c r="Z20" s="99"/>
      <c r="AA20" s="93"/>
      <c r="AD20" s="100"/>
      <c r="AE20" s="101"/>
    </row>
    <row r="21" spans="1:31" ht="21.6" thickBot="1" x14ac:dyDescent="0.35">
      <c r="A21" s="103"/>
      <c r="B21" s="103"/>
      <c r="C21" s="104"/>
      <c r="D21" s="96" t="s">
        <v>151</v>
      </c>
      <c r="E21" s="105">
        <f ca="1">SUM(E15:E20)</f>
        <v>0</v>
      </c>
      <c r="F21" s="277">
        <f ca="1">SUM(F15:F20)</f>
        <v>0</v>
      </c>
      <c r="H21" s="99"/>
      <c r="I21" s="93"/>
      <c r="M21" s="99"/>
      <c r="N21" s="93"/>
      <c r="Q21" s="99"/>
      <c r="R21" s="93"/>
      <c r="S21" s="93"/>
      <c r="V21" s="99"/>
      <c r="W21" s="93"/>
      <c r="Z21" s="99"/>
      <c r="AA21" s="93"/>
      <c r="AD21" s="100"/>
      <c r="AE21" s="101"/>
    </row>
    <row r="22" spans="1:31" ht="15" thickBot="1" x14ac:dyDescent="0.35">
      <c r="A22" s="103"/>
      <c r="B22" s="103"/>
      <c r="C22" s="104"/>
      <c r="D22" s="104"/>
      <c r="E22" s="103"/>
      <c r="F22" s="97"/>
      <c r="H22" s="99"/>
      <c r="I22" s="93"/>
      <c r="M22" s="99"/>
      <c r="N22" s="93"/>
      <c r="Q22" s="99"/>
      <c r="R22" s="93"/>
      <c r="S22" s="93"/>
      <c r="V22" s="99"/>
      <c r="W22" s="93"/>
      <c r="Z22" s="99"/>
      <c r="AA22" s="93"/>
      <c r="AD22" s="100"/>
      <c r="AE22" s="101"/>
    </row>
    <row r="23" spans="1:31" ht="15" thickBot="1" x14ac:dyDescent="0.35">
      <c r="A23" s="431" t="s">
        <v>150</v>
      </c>
      <c r="B23" s="432"/>
      <c r="C23" s="432"/>
      <c r="D23" s="432"/>
      <c r="E23" s="433"/>
      <c r="F23" s="97"/>
      <c r="H23" s="99"/>
      <c r="I23" s="93"/>
      <c r="M23" s="99"/>
      <c r="N23" s="93"/>
      <c r="Q23" s="99"/>
      <c r="R23" s="93"/>
      <c r="S23" s="93"/>
      <c r="V23" s="99"/>
      <c r="W23" s="93"/>
      <c r="Z23" s="99"/>
      <c r="AA23" s="93"/>
      <c r="AD23" s="100"/>
      <c r="AE23" s="101"/>
    </row>
    <row r="24" spans="1:31" ht="43.8" thickBot="1" x14ac:dyDescent="0.35">
      <c r="A24" s="327" t="s">
        <v>133</v>
      </c>
      <c r="B24" s="328" t="s">
        <v>23</v>
      </c>
      <c r="C24" s="328" t="s">
        <v>233</v>
      </c>
      <c r="D24" s="328" t="s">
        <v>24</v>
      </c>
      <c r="E24" s="328" t="s">
        <v>119</v>
      </c>
      <c r="F24" s="328" t="s">
        <v>121</v>
      </c>
      <c r="H24" s="99"/>
      <c r="I24" s="93"/>
      <c r="M24" s="99"/>
      <c r="N24" s="93"/>
      <c r="Q24" s="99"/>
      <c r="R24" s="93"/>
      <c r="S24" s="93"/>
      <c r="V24" s="99"/>
      <c r="W24" s="93"/>
      <c r="Z24" s="99"/>
      <c r="AA24" s="93"/>
      <c r="AD24" s="100"/>
      <c r="AE24" s="101"/>
    </row>
    <row r="25" spans="1:31" x14ac:dyDescent="0.3">
      <c r="A25" s="33" t="str">
        <f>'Labor Projections'!A$3</f>
        <v>Technician</v>
      </c>
      <c r="B25" s="102">
        <f>VLOOKUP(A25,'Labor Projections'!A3:B12,2,FALSE)</f>
        <v>85</v>
      </c>
      <c r="C25" s="110">
        <v>3</v>
      </c>
      <c r="D25" s="110"/>
      <c r="E25" s="102">
        <f t="shared" ref="E25:E30" si="4">(D25*B25)*C25</f>
        <v>0</v>
      </c>
      <c r="F25" s="273">
        <f t="shared" ref="F25:F30" si="5">C25*D25</f>
        <v>0</v>
      </c>
      <c r="H25" s="99"/>
      <c r="I25" s="93"/>
      <c r="M25" s="99"/>
      <c r="N25" s="93"/>
      <c r="Q25" s="99"/>
      <c r="R25" s="93"/>
      <c r="S25" s="93"/>
      <c r="V25" s="99"/>
      <c r="W25" s="93"/>
      <c r="Z25" s="99"/>
      <c r="AA25" s="93"/>
      <c r="AD25" s="100"/>
      <c r="AE25" s="101"/>
    </row>
    <row r="26" spans="1:31" x14ac:dyDescent="0.3">
      <c r="A26" s="33" t="str">
        <f>'Labor Projections'!A$4</f>
        <v>Construction Manager</v>
      </c>
      <c r="B26" s="102">
        <f>VLOOKUP(A26,'Labor Projections'!A4:B13,2,FALSE)</f>
        <v>95</v>
      </c>
      <c r="C26" s="110">
        <v>1</v>
      </c>
      <c r="D26" s="110"/>
      <c r="E26" s="102">
        <f t="shared" si="4"/>
        <v>0</v>
      </c>
      <c r="F26" s="273">
        <f t="shared" si="5"/>
        <v>0</v>
      </c>
      <c r="H26" s="99"/>
      <c r="I26" s="93"/>
      <c r="M26" s="99"/>
      <c r="N26" s="93"/>
      <c r="Q26" s="99"/>
      <c r="R26" s="93"/>
      <c r="S26" s="93"/>
      <c r="V26" s="99"/>
      <c r="W26" s="93"/>
      <c r="Z26" s="99"/>
      <c r="AA26" s="93"/>
      <c r="AD26" s="100"/>
      <c r="AE26" s="101"/>
    </row>
    <row r="27" spans="1:31" x14ac:dyDescent="0.3">
      <c r="A27" s="33" t="str">
        <f>'Labor Projections'!A$5</f>
        <v>RF-Engineer</v>
      </c>
      <c r="B27" s="102">
        <f>VLOOKUP(A27,'Labor Projections'!A5:B14,2,FALSE)</f>
        <v>75</v>
      </c>
      <c r="C27" s="110"/>
      <c r="D27" s="110"/>
      <c r="E27" s="102">
        <f t="shared" si="4"/>
        <v>0</v>
      </c>
      <c r="F27" s="273">
        <f t="shared" si="5"/>
        <v>0</v>
      </c>
      <c r="H27" s="99"/>
      <c r="I27" s="93"/>
      <c r="M27" s="99"/>
      <c r="N27" s="93"/>
      <c r="Q27" s="99"/>
      <c r="R27" s="93"/>
      <c r="S27" s="93"/>
      <c r="V27" s="99"/>
      <c r="W27" s="93"/>
      <c r="Z27" s="99"/>
      <c r="AA27" s="93"/>
      <c r="AD27" s="100"/>
      <c r="AE27" s="101"/>
    </row>
    <row r="28" spans="1:31" x14ac:dyDescent="0.3">
      <c r="A28" s="33" t="str">
        <f>'Labor Projections'!A$6</f>
        <v>RF-Technician</v>
      </c>
      <c r="B28" s="102">
        <f>VLOOKUP(A28,'Labor Projections'!A6:B16,2,FALSE)</f>
        <v>75</v>
      </c>
      <c r="C28" s="110"/>
      <c r="D28" s="110"/>
      <c r="E28" s="102">
        <f t="shared" si="4"/>
        <v>0</v>
      </c>
      <c r="F28" s="273">
        <f t="shared" si="5"/>
        <v>0</v>
      </c>
      <c r="H28" s="99"/>
      <c r="I28" s="93"/>
      <c r="M28" s="99"/>
      <c r="N28" s="93"/>
      <c r="Q28" s="99"/>
      <c r="R28" s="93"/>
      <c r="S28" s="93"/>
      <c r="V28" s="99"/>
      <c r="W28" s="93"/>
      <c r="Z28" s="99"/>
      <c r="AA28" s="93"/>
      <c r="AD28" s="100"/>
      <c r="AE28" s="101"/>
    </row>
    <row r="29" spans="1:31" x14ac:dyDescent="0.3">
      <c r="A29" s="33" t="str">
        <f>'Labor Projections'!A$7</f>
        <v>Project Coordinator</v>
      </c>
      <c r="B29" s="102">
        <f>VLOOKUP(A29,'Labor Projections'!A7:B17,2,FALSE)</f>
        <v>55</v>
      </c>
      <c r="C29" s="110"/>
      <c r="D29" s="110"/>
      <c r="E29" s="102">
        <f t="shared" si="4"/>
        <v>0</v>
      </c>
      <c r="F29" s="273">
        <f t="shared" si="5"/>
        <v>0</v>
      </c>
      <c r="H29" s="99"/>
      <c r="I29" s="93"/>
      <c r="M29" s="99"/>
      <c r="N29" s="93"/>
      <c r="Q29" s="99"/>
      <c r="R29" s="93"/>
      <c r="S29" s="93"/>
      <c r="V29" s="99"/>
      <c r="W29" s="93"/>
      <c r="Z29" s="99"/>
      <c r="AA29" s="93"/>
      <c r="AD29" s="100"/>
      <c r="AE29" s="101"/>
    </row>
    <row r="30" spans="1:31" ht="15" thickBot="1" x14ac:dyDescent="0.35">
      <c r="A30" s="33" t="str">
        <f>'Labor Projections'!A$8</f>
        <v>Project Manager</v>
      </c>
      <c r="B30" s="102">
        <f>VLOOKUP(A30,'Labor Projections'!A8:B18,2,FALSE)</f>
        <v>100</v>
      </c>
      <c r="C30" s="110"/>
      <c r="D30" s="110"/>
      <c r="E30" s="102">
        <f t="shared" si="4"/>
        <v>0</v>
      </c>
      <c r="F30" s="273">
        <f t="shared" si="5"/>
        <v>0</v>
      </c>
      <c r="H30" s="99"/>
      <c r="I30" s="93"/>
      <c r="M30" s="99"/>
      <c r="N30" s="93"/>
      <c r="Q30" s="99"/>
      <c r="R30" s="93"/>
      <c r="S30" s="93"/>
      <c r="V30" s="99"/>
      <c r="W30" s="93"/>
      <c r="Z30" s="99"/>
      <c r="AA30" s="93"/>
      <c r="AD30" s="100"/>
      <c r="AE30" s="101"/>
    </row>
    <row r="31" spans="1:31" ht="21.6" thickBot="1" x14ac:dyDescent="0.35">
      <c r="A31" s="103"/>
      <c r="B31" s="103"/>
      <c r="C31" s="104"/>
      <c r="D31" s="96" t="s">
        <v>153</v>
      </c>
      <c r="E31" s="105">
        <f>SUM(E25:E30)</f>
        <v>0</v>
      </c>
      <c r="F31" s="277">
        <f>SUM(F25:F30)</f>
        <v>0</v>
      </c>
      <c r="H31" s="99"/>
      <c r="I31" s="93"/>
      <c r="M31" s="99"/>
      <c r="N31" s="93"/>
      <c r="Q31" s="99"/>
      <c r="R31" s="93"/>
      <c r="S31" s="93"/>
      <c r="V31" s="99"/>
      <c r="W31" s="93"/>
      <c r="Z31" s="99"/>
      <c r="AA31" s="93"/>
      <c r="AD31" s="100"/>
      <c r="AE31" s="101"/>
    </row>
    <row r="32" spans="1:31" ht="15" thickBot="1" x14ac:dyDescent="0.35">
      <c r="A32" s="103"/>
      <c r="B32" s="103"/>
      <c r="C32" s="104"/>
      <c r="D32" s="104"/>
      <c r="E32" s="103"/>
      <c r="F32" s="97"/>
      <c r="H32" s="99"/>
      <c r="I32" s="93"/>
      <c r="M32" s="99"/>
      <c r="N32" s="93"/>
      <c r="Q32" s="99"/>
      <c r="R32" s="93"/>
      <c r="S32" s="93"/>
      <c r="V32" s="99"/>
      <c r="W32" s="93"/>
      <c r="Z32" s="99"/>
      <c r="AA32" s="93"/>
      <c r="AD32" s="100"/>
      <c r="AE32" s="101"/>
    </row>
    <row r="33" spans="1:31" ht="15" thickBot="1" x14ac:dyDescent="0.35">
      <c r="A33" s="431" t="s">
        <v>25</v>
      </c>
      <c r="B33" s="432"/>
      <c r="C33" s="432"/>
      <c r="D33" s="432"/>
      <c r="E33" s="433"/>
      <c r="F33" s="97"/>
      <c r="H33" s="99"/>
      <c r="I33" s="93"/>
      <c r="M33" s="99"/>
      <c r="N33" s="93"/>
      <c r="Q33" s="99"/>
      <c r="R33" s="93"/>
      <c r="S33" s="93"/>
      <c r="V33" s="99"/>
      <c r="W33" s="93"/>
      <c r="Z33" s="99"/>
      <c r="AA33" s="93"/>
      <c r="AD33" s="100"/>
      <c r="AE33" s="101"/>
    </row>
    <row r="34" spans="1:31" ht="15" thickBot="1" x14ac:dyDescent="0.35">
      <c r="A34" s="327" t="s">
        <v>133</v>
      </c>
      <c r="B34" s="328" t="s">
        <v>234</v>
      </c>
      <c r="C34" s="328"/>
      <c r="D34" s="328" t="s">
        <v>154</v>
      </c>
      <c r="E34" s="328" t="s">
        <v>119</v>
      </c>
      <c r="F34" s="97"/>
      <c r="H34" s="99"/>
      <c r="I34" s="93"/>
      <c r="M34" s="99"/>
      <c r="N34" s="93"/>
      <c r="Q34" s="99"/>
      <c r="R34" s="93"/>
      <c r="S34" s="93"/>
      <c r="V34" s="99"/>
      <c r="W34" s="93"/>
      <c r="Z34" s="99"/>
      <c r="AA34" s="93"/>
      <c r="AD34" s="100"/>
      <c r="AE34" s="101"/>
    </row>
    <row r="35" spans="1:31" x14ac:dyDescent="0.3">
      <c r="A35" s="33" t="str">
        <f>'Labor Projections'!A$3</f>
        <v>Technician</v>
      </c>
      <c r="B35" s="111">
        <v>500</v>
      </c>
      <c r="C35" s="107"/>
      <c r="D35" s="110"/>
      <c r="E35" s="102">
        <f t="shared" ref="E35:E40" si="6">D35*B35</f>
        <v>0</v>
      </c>
      <c r="F35" s="97"/>
      <c r="H35" s="99"/>
      <c r="I35" s="93"/>
      <c r="M35" s="99"/>
      <c r="N35" s="93"/>
      <c r="Q35" s="99"/>
      <c r="R35" s="93"/>
      <c r="S35" s="93"/>
      <c r="V35" s="99"/>
      <c r="W35" s="93"/>
      <c r="Z35" s="99"/>
      <c r="AA35" s="93"/>
      <c r="AD35" s="100"/>
      <c r="AE35" s="101"/>
    </row>
    <row r="36" spans="1:31" x14ac:dyDescent="0.3">
      <c r="A36" s="33" t="str">
        <f>'Labor Projections'!A$4</f>
        <v>Construction Manager</v>
      </c>
      <c r="B36" s="111">
        <v>500</v>
      </c>
      <c r="C36" s="107"/>
      <c r="D36" s="110"/>
      <c r="E36" s="102">
        <f t="shared" si="6"/>
        <v>0</v>
      </c>
      <c r="F36" s="97"/>
      <c r="H36" s="99"/>
      <c r="I36" s="93"/>
      <c r="M36" s="99"/>
      <c r="N36" s="93"/>
      <c r="Q36" s="99"/>
      <c r="R36" s="93"/>
      <c r="S36" s="93"/>
      <c r="V36" s="99"/>
      <c r="W36" s="93"/>
      <c r="Z36" s="99"/>
      <c r="AA36" s="93"/>
      <c r="AD36" s="100"/>
      <c r="AE36" s="101"/>
    </row>
    <row r="37" spans="1:31" x14ac:dyDescent="0.3">
      <c r="A37" s="33" t="str">
        <f>'Labor Projections'!A$5</f>
        <v>RF-Engineer</v>
      </c>
      <c r="B37" s="111"/>
      <c r="C37" s="107"/>
      <c r="D37" s="110"/>
      <c r="E37" s="102">
        <f t="shared" si="6"/>
        <v>0</v>
      </c>
      <c r="F37" s="97"/>
      <c r="H37" s="99"/>
      <c r="I37" s="93"/>
      <c r="M37" s="99"/>
      <c r="N37" s="93"/>
      <c r="Q37" s="99"/>
      <c r="R37" s="93"/>
      <c r="S37" s="93"/>
      <c r="V37" s="99"/>
      <c r="W37" s="93"/>
      <c r="Z37" s="99"/>
      <c r="AA37" s="93"/>
      <c r="AD37" s="100"/>
      <c r="AE37" s="101"/>
    </row>
    <row r="38" spans="1:31" x14ac:dyDescent="0.3">
      <c r="A38" s="33" t="str">
        <f>'Labor Projections'!A$6</f>
        <v>RF-Technician</v>
      </c>
      <c r="B38" s="111"/>
      <c r="C38" s="107"/>
      <c r="D38" s="110"/>
      <c r="E38" s="102">
        <f t="shared" si="6"/>
        <v>0</v>
      </c>
      <c r="F38" s="97"/>
      <c r="H38" s="99"/>
      <c r="I38" s="93"/>
      <c r="M38" s="99"/>
      <c r="N38" s="93"/>
      <c r="Q38" s="99"/>
      <c r="R38" s="93"/>
      <c r="S38" s="93"/>
      <c r="V38" s="99"/>
      <c r="W38" s="93"/>
      <c r="Z38" s="99"/>
      <c r="AA38" s="93"/>
      <c r="AD38" s="100"/>
      <c r="AE38" s="101"/>
    </row>
    <row r="39" spans="1:31" x14ac:dyDescent="0.3">
      <c r="A39" s="33" t="str">
        <f>'Labor Projections'!A$7</f>
        <v>Project Coordinator</v>
      </c>
      <c r="B39" s="111"/>
      <c r="C39" s="107"/>
      <c r="D39" s="110"/>
      <c r="E39" s="102">
        <f t="shared" si="6"/>
        <v>0</v>
      </c>
      <c r="F39" s="97"/>
      <c r="H39" s="99"/>
      <c r="I39" s="93"/>
      <c r="M39" s="99"/>
      <c r="N39" s="93"/>
      <c r="Q39" s="99"/>
      <c r="R39" s="93"/>
      <c r="S39" s="93"/>
      <c r="V39" s="99"/>
      <c r="W39" s="93"/>
      <c r="Z39" s="99"/>
      <c r="AA39" s="93"/>
      <c r="AD39" s="100"/>
      <c r="AE39" s="101"/>
    </row>
    <row r="40" spans="1:31" ht="15" thickBot="1" x14ac:dyDescent="0.35">
      <c r="A40" s="33" t="str">
        <f>'Labor Projections'!A$8</f>
        <v>Project Manager</v>
      </c>
      <c r="B40" s="111"/>
      <c r="C40" s="107"/>
      <c r="D40" s="110"/>
      <c r="E40" s="102">
        <f t="shared" si="6"/>
        <v>0</v>
      </c>
      <c r="F40" s="97"/>
      <c r="H40" s="99"/>
      <c r="I40" s="93"/>
      <c r="M40" s="99"/>
      <c r="N40" s="93"/>
      <c r="Q40" s="99"/>
      <c r="R40" s="93"/>
      <c r="S40" s="93"/>
      <c r="V40" s="99"/>
      <c r="W40" s="93"/>
      <c r="Z40" s="99"/>
      <c r="AA40" s="93"/>
      <c r="AD40" s="100"/>
      <c r="AE40" s="101"/>
    </row>
    <row r="41" spans="1:31" ht="21.6" thickBot="1" x14ac:dyDescent="0.35">
      <c r="A41" s="103"/>
      <c r="B41" s="103"/>
      <c r="C41" s="104"/>
      <c r="D41" s="96" t="s">
        <v>156</v>
      </c>
      <c r="E41" s="105">
        <f>SUM(E35:E40)</f>
        <v>0</v>
      </c>
      <c r="F41" s="97"/>
      <c r="H41" s="99"/>
      <c r="I41" s="93"/>
      <c r="M41" s="99"/>
      <c r="N41" s="93"/>
      <c r="Q41" s="99"/>
      <c r="R41" s="93"/>
      <c r="S41" s="93"/>
      <c r="V41" s="99"/>
      <c r="W41" s="93"/>
      <c r="Z41" s="99"/>
      <c r="AA41" s="93"/>
      <c r="AD41" s="100"/>
      <c r="AE41" s="101"/>
    </row>
    <row r="42" spans="1:31" ht="15" thickBot="1" x14ac:dyDescent="0.35">
      <c r="A42" s="103"/>
      <c r="B42" s="103"/>
      <c r="C42" s="104"/>
      <c r="D42" s="104"/>
      <c r="E42" s="103"/>
      <c r="F42" s="97"/>
      <c r="H42" s="99"/>
      <c r="I42" s="93"/>
      <c r="M42" s="99"/>
      <c r="N42" s="93"/>
      <c r="Q42" s="99"/>
      <c r="R42" s="93"/>
      <c r="S42" s="93"/>
      <c r="V42" s="99"/>
      <c r="W42" s="93"/>
      <c r="Z42" s="99"/>
      <c r="AA42" s="93"/>
      <c r="AD42" s="100"/>
      <c r="AE42" s="101"/>
    </row>
    <row r="43" spans="1:31" ht="15" thickBot="1" x14ac:dyDescent="0.35">
      <c r="A43" s="431" t="s">
        <v>155</v>
      </c>
      <c r="B43" s="432"/>
      <c r="C43" s="432"/>
      <c r="D43" s="432"/>
      <c r="E43" s="433"/>
      <c r="F43" s="97"/>
      <c r="H43" s="99"/>
      <c r="I43" s="93"/>
      <c r="M43" s="99"/>
      <c r="N43" s="93"/>
      <c r="Q43" s="99"/>
      <c r="R43" s="93"/>
      <c r="S43" s="93"/>
      <c r="V43" s="99"/>
      <c r="W43" s="93"/>
      <c r="Z43" s="99"/>
      <c r="AA43" s="93"/>
      <c r="AD43" s="100"/>
      <c r="AE43" s="101"/>
    </row>
    <row r="44" spans="1:31" ht="15" thickBot="1" x14ac:dyDescent="0.35">
      <c r="A44" s="327" t="s">
        <v>149</v>
      </c>
      <c r="B44" s="328" t="s">
        <v>23</v>
      </c>
      <c r="C44" s="328" t="s">
        <v>159</v>
      </c>
      <c r="D44" s="328" t="s">
        <v>154</v>
      </c>
      <c r="E44" s="328" t="s">
        <v>119</v>
      </c>
      <c r="F44" s="97"/>
      <c r="H44" s="99"/>
      <c r="I44" s="93"/>
      <c r="M44" s="99"/>
      <c r="N44" s="93"/>
      <c r="Q44" s="99"/>
      <c r="R44" s="93"/>
      <c r="S44" s="93"/>
      <c r="V44" s="99"/>
      <c r="W44" s="93"/>
      <c r="Z44" s="99"/>
      <c r="AA44" s="93"/>
      <c r="AD44" s="100"/>
      <c r="AE44" s="101"/>
    </row>
    <row r="45" spans="1:31" x14ac:dyDescent="0.3">
      <c r="A45" s="112" t="s">
        <v>352</v>
      </c>
      <c r="B45" s="354">
        <v>1800</v>
      </c>
      <c r="C45" s="110" t="s">
        <v>257</v>
      </c>
      <c r="D45" s="110"/>
      <c r="E45" s="102">
        <f t="shared" ref="E45:E57" si="7">D45*B45</f>
        <v>0</v>
      </c>
      <c r="F45" s="97"/>
      <c r="H45" s="99"/>
      <c r="I45" s="93"/>
      <c r="M45" s="99"/>
      <c r="N45" s="93"/>
      <c r="Q45" s="99"/>
      <c r="R45" s="93"/>
      <c r="S45" s="93"/>
      <c r="V45" s="99"/>
      <c r="W45" s="93"/>
      <c r="Z45" s="99"/>
      <c r="AA45" s="93"/>
      <c r="AD45" s="100"/>
      <c r="AE45" s="101"/>
    </row>
    <row r="46" spans="1:31" x14ac:dyDescent="0.3">
      <c r="A46" s="112" t="s">
        <v>98</v>
      </c>
      <c r="B46" s="354">
        <v>1200</v>
      </c>
      <c r="C46" s="110" t="s">
        <v>259</v>
      </c>
      <c r="D46" s="110"/>
      <c r="E46" s="102">
        <f t="shared" si="7"/>
        <v>0</v>
      </c>
      <c r="F46" s="97"/>
      <c r="H46" s="99"/>
      <c r="I46" s="93"/>
      <c r="M46" s="99"/>
      <c r="N46" s="93"/>
      <c r="Q46" s="99"/>
      <c r="R46" s="93"/>
      <c r="S46" s="93"/>
      <c r="V46" s="99"/>
      <c r="W46" s="93"/>
      <c r="Z46" s="99"/>
      <c r="AA46" s="93"/>
      <c r="AD46" s="100"/>
      <c r="AE46" s="101"/>
    </row>
    <row r="47" spans="1:31" x14ac:dyDescent="0.3">
      <c r="A47" s="112" t="s">
        <v>157</v>
      </c>
      <c r="B47" s="354"/>
      <c r="C47" s="110"/>
      <c r="D47" s="110"/>
      <c r="E47" s="102">
        <f t="shared" si="7"/>
        <v>0</v>
      </c>
      <c r="F47" s="97"/>
      <c r="H47" s="99"/>
      <c r="I47" s="93"/>
      <c r="M47" s="99"/>
      <c r="N47" s="93"/>
      <c r="Q47" s="99"/>
      <c r="R47" s="93"/>
      <c r="S47" s="93"/>
      <c r="V47" s="99"/>
      <c r="W47" s="93"/>
      <c r="Z47" s="99"/>
      <c r="AA47" s="93"/>
      <c r="AD47" s="100"/>
      <c r="AE47" s="101"/>
    </row>
    <row r="48" spans="1:31" x14ac:dyDescent="0.3">
      <c r="A48" s="112" t="s">
        <v>158</v>
      </c>
      <c r="B48" s="354">
        <v>1200</v>
      </c>
      <c r="C48" s="110" t="s">
        <v>259</v>
      </c>
      <c r="D48" s="110"/>
      <c r="E48" s="102">
        <f t="shared" si="7"/>
        <v>0</v>
      </c>
      <c r="F48" s="97"/>
      <c r="H48" s="99"/>
      <c r="I48" s="93"/>
      <c r="M48" s="99"/>
      <c r="N48" s="93"/>
      <c r="Q48" s="99"/>
      <c r="R48" s="93"/>
      <c r="S48" s="93"/>
      <c r="V48" s="99"/>
      <c r="W48" s="93"/>
      <c r="Z48" s="99"/>
      <c r="AA48" s="93"/>
      <c r="AD48" s="100"/>
      <c r="AE48" s="101"/>
    </row>
    <row r="49" spans="1:31" x14ac:dyDescent="0.3">
      <c r="A49" s="112" t="s">
        <v>356</v>
      </c>
      <c r="B49" s="354">
        <v>800</v>
      </c>
      <c r="C49" s="110" t="s">
        <v>259</v>
      </c>
      <c r="D49" s="110"/>
      <c r="E49" s="102">
        <f t="shared" si="7"/>
        <v>0</v>
      </c>
      <c r="F49" s="97"/>
      <c r="H49" s="99"/>
      <c r="I49" s="93"/>
      <c r="M49" s="99"/>
      <c r="N49" s="93"/>
      <c r="Q49" s="99"/>
      <c r="R49" s="93"/>
      <c r="S49" s="93"/>
      <c r="V49" s="99"/>
      <c r="W49" s="93"/>
      <c r="Z49" s="99"/>
      <c r="AA49" s="93"/>
      <c r="AD49" s="100"/>
      <c r="AE49" s="101"/>
    </row>
    <row r="50" spans="1:31" x14ac:dyDescent="0.3">
      <c r="A50" s="112" t="s">
        <v>433</v>
      </c>
      <c r="B50" s="354">
        <v>1800</v>
      </c>
      <c r="C50" s="110" t="s">
        <v>259</v>
      </c>
      <c r="D50" s="110"/>
      <c r="E50" s="102">
        <f t="shared" si="7"/>
        <v>0</v>
      </c>
      <c r="F50" s="97"/>
      <c r="H50" s="99"/>
      <c r="I50" s="93"/>
      <c r="M50" s="99"/>
      <c r="N50" s="93"/>
      <c r="Q50" s="99"/>
      <c r="R50" s="93"/>
      <c r="S50" s="93"/>
      <c r="V50" s="99"/>
      <c r="W50" s="93"/>
      <c r="Z50" s="99"/>
      <c r="AA50" s="93"/>
      <c r="AD50" s="100"/>
      <c r="AE50" s="101"/>
    </row>
    <row r="51" spans="1:31" x14ac:dyDescent="0.3">
      <c r="A51" s="366" t="s">
        <v>539</v>
      </c>
      <c r="B51" s="354">
        <v>1800</v>
      </c>
      <c r="C51" s="110" t="s">
        <v>259</v>
      </c>
      <c r="D51" s="114"/>
      <c r="E51" s="102">
        <f t="shared" si="7"/>
        <v>0</v>
      </c>
      <c r="F51" s="97"/>
      <c r="H51" s="99"/>
      <c r="I51" s="93"/>
      <c r="M51" s="99"/>
      <c r="N51" s="93"/>
      <c r="Q51" s="99"/>
      <c r="R51" s="93"/>
      <c r="S51" s="93"/>
      <c r="V51" s="99"/>
      <c r="W51" s="93"/>
      <c r="Z51" s="99"/>
      <c r="AA51" s="93"/>
      <c r="AD51" s="100"/>
      <c r="AE51" s="101"/>
    </row>
    <row r="52" spans="1:31" x14ac:dyDescent="0.3">
      <c r="A52" s="366" t="s">
        <v>532</v>
      </c>
      <c r="B52" s="354">
        <v>200</v>
      </c>
      <c r="C52" s="110" t="s">
        <v>257</v>
      </c>
      <c r="D52" s="114"/>
      <c r="E52" s="102">
        <f t="shared" si="7"/>
        <v>0</v>
      </c>
      <c r="F52" s="97"/>
      <c r="H52" s="99"/>
      <c r="I52" s="93"/>
      <c r="M52" s="99"/>
      <c r="N52" s="93"/>
      <c r="Q52" s="99"/>
      <c r="R52" s="93"/>
      <c r="S52" s="93"/>
      <c r="V52" s="99"/>
      <c r="W52" s="93"/>
      <c r="Z52" s="99"/>
      <c r="AA52" s="93"/>
      <c r="AD52" s="100"/>
      <c r="AE52" s="101"/>
    </row>
    <row r="53" spans="1:31" x14ac:dyDescent="0.3">
      <c r="A53" s="366" t="s">
        <v>531</v>
      </c>
      <c r="B53" s="354">
        <v>700</v>
      </c>
      <c r="C53" s="110" t="s">
        <v>257</v>
      </c>
      <c r="D53" s="114"/>
      <c r="E53" s="102">
        <f t="shared" si="7"/>
        <v>0</v>
      </c>
      <c r="F53" s="97"/>
      <c r="H53" s="99"/>
      <c r="I53" s="93"/>
      <c r="M53" s="99"/>
      <c r="N53" s="93"/>
      <c r="Q53" s="99"/>
      <c r="R53" s="93"/>
      <c r="S53" s="93"/>
      <c r="V53" s="99"/>
      <c r="W53" s="93"/>
      <c r="Z53" s="99"/>
      <c r="AA53" s="93"/>
      <c r="AD53" s="100"/>
      <c r="AE53" s="101"/>
    </row>
    <row r="54" spans="1:31" x14ac:dyDescent="0.3">
      <c r="A54" s="366" t="s">
        <v>525</v>
      </c>
      <c r="B54" s="354">
        <v>1000</v>
      </c>
      <c r="C54" s="110" t="s">
        <v>257</v>
      </c>
      <c r="D54" s="114"/>
      <c r="E54" s="102">
        <f t="shared" si="7"/>
        <v>0</v>
      </c>
      <c r="F54" s="97"/>
      <c r="H54" s="99"/>
      <c r="I54" s="93"/>
      <c r="M54" s="99"/>
      <c r="N54" s="93"/>
      <c r="Q54" s="99"/>
      <c r="R54" s="93"/>
      <c r="S54" s="93"/>
      <c r="V54" s="99"/>
      <c r="W54" s="93"/>
      <c r="Z54" s="99"/>
      <c r="AA54" s="93"/>
      <c r="AD54" s="100"/>
      <c r="AE54" s="101"/>
    </row>
    <row r="55" spans="1:31" x14ac:dyDescent="0.3">
      <c r="A55" s="366" t="s">
        <v>540</v>
      </c>
      <c r="B55" s="354">
        <v>600</v>
      </c>
      <c r="C55" s="110" t="s">
        <v>257</v>
      </c>
      <c r="D55" s="114"/>
      <c r="E55" s="102">
        <f t="shared" si="7"/>
        <v>0</v>
      </c>
      <c r="F55" s="97"/>
      <c r="H55" s="99"/>
      <c r="I55" s="93"/>
      <c r="M55" s="99"/>
      <c r="N55" s="93"/>
      <c r="Q55" s="99"/>
      <c r="R55" s="93"/>
      <c r="S55" s="93"/>
      <c r="V55" s="99"/>
      <c r="W55" s="93"/>
      <c r="Z55" s="99"/>
      <c r="AA55" s="93"/>
      <c r="AD55" s="100"/>
      <c r="AE55" s="101"/>
    </row>
    <row r="56" spans="1:31" x14ac:dyDescent="0.3">
      <c r="A56" s="366" t="s">
        <v>524</v>
      </c>
      <c r="B56" s="354">
        <v>950</v>
      </c>
      <c r="C56" s="110" t="s">
        <v>257</v>
      </c>
      <c r="D56" s="114"/>
      <c r="E56" s="102">
        <f t="shared" si="7"/>
        <v>0</v>
      </c>
      <c r="F56" s="97"/>
      <c r="H56" s="99"/>
      <c r="I56" s="93"/>
      <c r="M56" s="99"/>
      <c r="N56" s="93"/>
      <c r="Q56" s="99"/>
      <c r="R56" s="93"/>
      <c r="S56" s="93"/>
      <c r="V56" s="99"/>
      <c r="W56" s="93"/>
      <c r="Z56" s="99"/>
      <c r="AA56" s="93"/>
      <c r="AD56" s="100"/>
      <c r="AE56" s="101"/>
    </row>
    <row r="57" spans="1:31" ht="15" thickBot="1" x14ac:dyDescent="0.35">
      <c r="A57" s="113"/>
      <c r="B57" s="354"/>
      <c r="C57" s="110"/>
      <c r="D57" s="114"/>
      <c r="E57" s="102">
        <f t="shared" si="7"/>
        <v>0</v>
      </c>
      <c r="F57" s="97"/>
      <c r="H57" s="99"/>
      <c r="I57" s="93"/>
      <c r="M57" s="99"/>
      <c r="N57" s="93"/>
      <c r="Q57" s="99"/>
      <c r="R57" s="93"/>
      <c r="S57" s="93"/>
      <c r="V57" s="99"/>
      <c r="W57" s="93"/>
      <c r="Z57" s="99"/>
      <c r="AA57" s="93"/>
      <c r="AD57" s="100"/>
      <c r="AE57" s="101"/>
    </row>
    <row r="58" spans="1:31" ht="21.6" thickBot="1" x14ac:dyDescent="0.35">
      <c r="A58" s="103"/>
      <c r="B58" s="103"/>
      <c r="C58" s="104"/>
      <c r="D58" s="96" t="s">
        <v>161</v>
      </c>
      <c r="E58" s="105">
        <f>SUM(E45:E57)</f>
        <v>0</v>
      </c>
      <c r="F58" s="97"/>
      <c r="H58" s="99"/>
      <c r="I58" s="93"/>
      <c r="M58" s="99"/>
      <c r="N58" s="93"/>
      <c r="Q58" s="99"/>
      <c r="R58" s="93"/>
      <c r="S58" s="93"/>
      <c r="V58" s="99"/>
      <c r="W58" s="93"/>
      <c r="Z58" s="99"/>
      <c r="AA58" s="93"/>
      <c r="AD58" s="100"/>
      <c r="AE58" s="101"/>
    </row>
    <row r="59" spans="1:31" ht="15" thickBot="1" x14ac:dyDescent="0.35">
      <c r="A59" s="103"/>
      <c r="B59" s="103"/>
      <c r="C59" s="104"/>
      <c r="D59" s="104"/>
      <c r="E59" s="103"/>
      <c r="F59" s="97"/>
      <c r="H59" s="99"/>
      <c r="I59" s="93"/>
      <c r="M59" s="99"/>
      <c r="N59" s="93"/>
      <c r="Q59" s="99"/>
      <c r="R59" s="93"/>
      <c r="S59" s="93"/>
      <c r="V59" s="99"/>
      <c r="W59" s="93"/>
      <c r="Z59" s="99"/>
      <c r="AA59" s="93"/>
      <c r="AD59" s="100"/>
      <c r="AE59" s="101"/>
    </row>
    <row r="60" spans="1:31" ht="15" thickBot="1" x14ac:dyDescent="0.35">
      <c r="A60" s="431" t="s">
        <v>363</v>
      </c>
      <c r="B60" s="432"/>
      <c r="C60" s="432"/>
      <c r="D60" s="432"/>
      <c r="E60" s="433"/>
      <c r="F60" s="97"/>
      <c r="H60" s="99"/>
      <c r="I60" s="93"/>
      <c r="M60" s="99"/>
      <c r="N60" s="93"/>
      <c r="Q60" s="99"/>
      <c r="R60" s="93"/>
      <c r="S60" s="93"/>
      <c r="V60" s="99"/>
      <c r="W60" s="93"/>
      <c r="Z60" s="99"/>
      <c r="AA60" s="93"/>
      <c r="AD60" s="100"/>
      <c r="AE60" s="101"/>
    </row>
    <row r="61" spans="1:31" ht="15" thickBot="1" x14ac:dyDescent="0.35">
      <c r="A61" s="327" t="s">
        <v>149</v>
      </c>
      <c r="B61" s="328" t="s">
        <v>154</v>
      </c>
      <c r="C61" s="328" t="s">
        <v>159</v>
      </c>
      <c r="D61" s="328" t="s">
        <v>7</v>
      </c>
      <c r="E61" s="328" t="s">
        <v>119</v>
      </c>
      <c r="F61" s="97"/>
      <c r="H61" s="99"/>
      <c r="I61" s="93"/>
      <c r="M61" s="99"/>
      <c r="N61" s="93"/>
      <c r="Q61" s="99"/>
      <c r="R61" s="93"/>
      <c r="S61" s="93"/>
      <c r="V61" s="99"/>
      <c r="W61" s="93"/>
      <c r="Z61" s="99"/>
      <c r="AA61" s="93"/>
      <c r="AD61" s="100"/>
      <c r="AE61" s="101"/>
    </row>
    <row r="62" spans="1:31" x14ac:dyDescent="0.3">
      <c r="A62" s="112" t="s">
        <v>372</v>
      </c>
      <c r="B62" s="351"/>
      <c r="C62" s="110" t="s">
        <v>38</v>
      </c>
      <c r="D62" s="352">
        <v>4500</v>
      </c>
      <c r="E62" s="102">
        <f t="shared" ref="E62:E71" si="8">D62*B62</f>
        <v>0</v>
      </c>
      <c r="F62" s="97"/>
      <c r="H62" s="99"/>
      <c r="I62" s="93"/>
      <c r="M62" s="99"/>
      <c r="N62" s="93"/>
      <c r="Q62" s="99"/>
      <c r="R62" s="93"/>
      <c r="S62" s="93"/>
      <c r="V62" s="99"/>
      <c r="W62" s="93"/>
      <c r="Z62" s="99"/>
      <c r="AA62" s="93"/>
      <c r="AD62" s="100"/>
      <c r="AE62" s="101"/>
    </row>
    <row r="63" spans="1:31" x14ac:dyDescent="0.3">
      <c r="A63" s="112" t="s">
        <v>364</v>
      </c>
      <c r="B63" s="351"/>
      <c r="C63" s="110" t="s">
        <v>38</v>
      </c>
      <c r="D63" s="352">
        <v>5500</v>
      </c>
      <c r="E63" s="102">
        <f>D63*B63</f>
        <v>0</v>
      </c>
      <c r="F63" s="97"/>
      <c r="H63" s="99"/>
      <c r="I63" s="93"/>
      <c r="M63" s="99"/>
      <c r="N63" s="93"/>
      <c r="Q63" s="99"/>
      <c r="R63" s="93"/>
      <c r="S63" s="93"/>
      <c r="V63" s="99"/>
      <c r="W63" s="93"/>
      <c r="Z63" s="99"/>
      <c r="AA63" s="93"/>
      <c r="AD63" s="100"/>
      <c r="AE63" s="101"/>
    </row>
    <row r="64" spans="1:31" x14ac:dyDescent="0.3">
      <c r="A64" s="112" t="s">
        <v>353</v>
      </c>
      <c r="B64" s="351"/>
      <c r="C64" s="110" t="s">
        <v>38</v>
      </c>
      <c r="D64" s="352">
        <v>5000</v>
      </c>
      <c r="E64" s="102">
        <f t="shared" si="8"/>
        <v>0</v>
      </c>
      <c r="F64" s="97"/>
      <c r="H64" s="99"/>
      <c r="I64" s="93"/>
      <c r="M64" s="99"/>
      <c r="N64" s="93"/>
      <c r="Q64" s="99"/>
      <c r="R64" s="93"/>
      <c r="S64" s="93"/>
      <c r="V64" s="99"/>
      <c r="W64" s="93"/>
      <c r="Z64" s="99"/>
      <c r="AA64" s="93"/>
      <c r="AD64" s="100"/>
      <c r="AE64" s="101"/>
    </row>
    <row r="65" spans="1:31" x14ac:dyDescent="0.3">
      <c r="A65" s="112" t="s">
        <v>365</v>
      </c>
      <c r="B65" s="351"/>
      <c r="C65" s="110" t="s">
        <v>38</v>
      </c>
      <c r="D65" s="352">
        <v>3500</v>
      </c>
      <c r="E65" s="102">
        <f t="shared" si="8"/>
        <v>0</v>
      </c>
      <c r="F65" s="97"/>
      <c r="H65" s="99"/>
      <c r="I65" s="93"/>
      <c r="M65" s="99"/>
      <c r="N65" s="93"/>
      <c r="Q65" s="99"/>
      <c r="R65" s="93"/>
      <c r="S65" s="93"/>
      <c r="V65" s="99"/>
      <c r="W65" s="93"/>
      <c r="Z65" s="99"/>
      <c r="AA65" s="93"/>
      <c r="AD65" s="100"/>
      <c r="AE65" s="101"/>
    </row>
    <row r="66" spans="1:31" x14ac:dyDescent="0.3">
      <c r="A66" s="112" t="s">
        <v>366</v>
      </c>
      <c r="B66" s="351"/>
      <c r="C66" s="110" t="s">
        <v>38</v>
      </c>
      <c r="D66" s="352">
        <v>2500</v>
      </c>
      <c r="E66" s="102">
        <f t="shared" si="8"/>
        <v>0</v>
      </c>
      <c r="F66" s="97"/>
      <c r="H66" s="99"/>
      <c r="I66" s="93"/>
      <c r="M66" s="99"/>
      <c r="N66" s="93"/>
      <c r="Q66" s="99"/>
      <c r="R66" s="93"/>
      <c r="S66" s="93"/>
      <c r="V66" s="99"/>
      <c r="W66" s="93"/>
      <c r="Z66" s="99"/>
      <c r="AA66" s="93"/>
      <c r="AD66" s="100"/>
      <c r="AE66" s="101"/>
    </row>
    <row r="67" spans="1:31" x14ac:dyDescent="0.3">
      <c r="A67" s="112" t="s">
        <v>367</v>
      </c>
      <c r="B67" s="351"/>
      <c r="C67" s="110" t="s">
        <v>38</v>
      </c>
      <c r="D67" s="352">
        <v>5775</v>
      </c>
      <c r="E67" s="102">
        <f t="shared" si="8"/>
        <v>0</v>
      </c>
      <c r="F67" s="97"/>
      <c r="H67" s="99"/>
      <c r="I67" s="93"/>
      <c r="M67" s="99"/>
      <c r="N67" s="93"/>
      <c r="Q67" s="99"/>
      <c r="R67" s="93"/>
      <c r="S67" s="93"/>
      <c r="V67" s="99"/>
      <c r="W67" s="93"/>
      <c r="Z67" s="99"/>
      <c r="AA67" s="93"/>
      <c r="AD67" s="100"/>
      <c r="AE67" s="101"/>
    </row>
    <row r="68" spans="1:31" x14ac:dyDescent="0.3">
      <c r="A68" s="112" t="s">
        <v>368</v>
      </c>
      <c r="B68" s="351"/>
      <c r="C68" s="110" t="s">
        <v>38</v>
      </c>
      <c r="D68" s="352">
        <v>6500</v>
      </c>
      <c r="E68" s="102">
        <f t="shared" si="8"/>
        <v>0</v>
      </c>
      <c r="F68" s="97"/>
      <c r="H68" s="99"/>
      <c r="I68" s="93"/>
      <c r="M68" s="99"/>
      <c r="N68" s="93"/>
      <c r="Q68" s="99"/>
      <c r="R68" s="93"/>
      <c r="S68" s="93"/>
      <c r="V68" s="99"/>
      <c r="W68" s="93"/>
      <c r="Z68" s="99"/>
      <c r="AA68" s="93"/>
      <c r="AD68" s="100"/>
      <c r="AE68" s="101"/>
    </row>
    <row r="69" spans="1:31" x14ac:dyDescent="0.3">
      <c r="A69" s="366" t="s">
        <v>538</v>
      </c>
      <c r="B69" s="351"/>
      <c r="C69" s="110" t="s">
        <v>38</v>
      </c>
      <c r="D69" s="353">
        <v>2500</v>
      </c>
      <c r="E69" s="102">
        <f t="shared" si="8"/>
        <v>0</v>
      </c>
      <c r="F69" s="97"/>
      <c r="H69" s="99"/>
      <c r="I69" s="93"/>
      <c r="M69" s="99"/>
      <c r="N69" s="93"/>
      <c r="Q69" s="99"/>
      <c r="R69" s="93"/>
      <c r="S69" s="93"/>
      <c r="V69" s="99"/>
      <c r="W69" s="93"/>
      <c r="Z69" s="99"/>
      <c r="AA69" s="93"/>
      <c r="AD69" s="100"/>
      <c r="AE69" s="101"/>
    </row>
    <row r="70" spans="1:31" x14ac:dyDescent="0.3">
      <c r="A70" s="366" t="s">
        <v>526</v>
      </c>
      <c r="B70" s="351"/>
      <c r="C70" s="110" t="s">
        <v>38</v>
      </c>
      <c r="D70" s="353">
        <v>1500</v>
      </c>
      <c r="E70" s="102">
        <f t="shared" si="8"/>
        <v>0</v>
      </c>
      <c r="F70" s="97"/>
      <c r="H70" s="99"/>
      <c r="I70" s="93"/>
      <c r="M70" s="99"/>
      <c r="N70" s="93"/>
      <c r="Q70" s="99"/>
      <c r="R70" s="93"/>
      <c r="S70" s="93"/>
      <c r="V70" s="99"/>
      <c r="W70" s="93"/>
      <c r="Z70" s="99"/>
      <c r="AA70" s="93"/>
      <c r="AD70" s="100"/>
      <c r="AE70" s="101"/>
    </row>
    <row r="71" spans="1:31" ht="15" thickBot="1" x14ac:dyDescent="0.35">
      <c r="A71" s="113" t="s">
        <v>374</v>
      </c>
      <c r="B71" s="351"/>
      <c r="C71" s="110"/>
      <c r="D71" s="353"/>
      <c r="E71" s="102">
        <f t="shared" si="8"/>
        <v>0</v>
      </c>
      <c r="F71" s="97"/>
      <c r="H71" s="99"/>
      <c r="I71" s="93"/>
      <c r="M71" s="99"/>
      <c r="N71" s="93"/>
      <c r="Q71" s="99"/>
      <c r="R71" s="93"/>
      <c r="S71" s="93"/>
      <c r="V71" s="99"/>
      <c r="W71" s="93"/>
      <c r="Z71" s="99"/>
      <c r="AA71" s="93"/>
      <c r="AD71" s="100"/>
      <c r="AE71" s="101"/>
    </row>
    <row r="72" spans="1:31" ht="21.6" thickBot="1" x14ac:dyDescent="0.35">
      <c r="A72" s="103"/>
      <c r="B72" s="103"/>
      <c r="C72" s="104"/>
      <c r="D72" s="96" t="s">
        <v>369</v>
      </c>
      <c r="E72" s="105">
        <f>SUM(E62:E71)</f>
        <v>0</v>
      </c>
      <c r="F72" s="97"/>
      <c r="H72" s="99"/>
      <c r="I72" s="93"/>
      <c r="M72" s="99"/>
      <c r="N72" s="93"/>
      <c r="Q72" s="99"/>
      <c r="R72" s="93"/>
      <c r="S72" s="93"/>
      <c r="V72" s="99"/>
      <c r="W72" s="93"/>
      <c r="Z72" s="99"/>
      <c r="AA72" s="93"/>
      <c r="AD72" s="100"/>
      <c r="AE72" s="101"/>
    </row>
    <row r="73" spans="1:31" x14ac:dyDescent="0.3">
      <c r="A73" s="103"/>
      <c r="B73" s="103"/>
      <c r="C73" s="104"/>
      <c r="D73" s="104"/>
      <c r="E73" s="103"/>
      <c r="F73" s="97"/>
      <c r="H73" s="99"/>
      <c r="I73" s="93"/>
      <c r="M73" s="99"/>
      <c r="N73" s="93"/>
      <c r="Q73" s="99"/>
      <c r="R73" s="93"/>
      <c r="S73" s="93"/>
      <c r="V73" s="99"/>
      <c r="W73" s="93"/>
      <c r="Z73" s="99"/>
      <c r="AA73" s="93"/>
      <c r="AD73" s="100"/>
      <c r="AE73" s="101"/>
    </row>
    <row r="74" spans="1:31" x14ac:dyDescent="0.3">
      <c r="F74" s="97"/>
      <c r="H74" s="99"/>
      <c r="I74" s="93"/>
      <c r="M74" s="99"/>
      <c r="N74" s="93"/>
      <c r="Q74" s="99"/>
      <c r="R74" s="93"/>
      <c r="S74" s="93"/>
      <c r="V74" s="99"/>
      <c r="W74" s="93"/>
      <c r="Z74" s="99"/>
      <c r="AA74" s="93"/>
      <c r="AD74" s="100"/>
      <c r="AE74" s="101"/>
    </row>
    <row r="75" spans="1:31" x14ac:dyDescent="0.3">
      <c r="F75" s="97"/>
      <c r="H75" s="99"/>
      <c r="I75" s="93"/>
      <c r="M75" s="99"/>
      <c r="N75" s="93"/>
      <c r="Q75" s="99"/>
      <c r="R75" s="93"/>
      <c r="S75" s="93"/>
      <c r="V75" s="99"/>
      <c r="W75" s="93"/>
      <c r="Z75" s="99"/>
      <c r="AA75" s="93"/>
      <c r="AD75" s="100"/>
      <c r="AE75" s="101"/>
    </row>
    <row r="76" spans="1:31" x14ac:dyDescent="0.3">
      <c r="F76" s="97"/>
      <c r="H76" s="99"/>
      <c r="N76" s="109"/>
      <c r="R76" s="109"/>
      <c r="S76" s="109"/>
      <c r="W76" s="109"/>
      <c r="AA76" s="109"/>
      <c r="AD76" s="100"/>
      <c r="AE76" s="101"/>
    </row>
    <row r="77" spans="1:31" x14ac:dyDescent="0.3">
      <c r="D77" s="94"/>
      <c r="F77" s="95"/>
      <c r="G77" s="95"/>
      <c r="H77" s="95"/>
      <c r="K77" s="94"/>
      <c r="L77" s="94"/>
    </row>
    <row r="78" spans="1:31" x14ac:dyDescent="0.3">
      <c r="D78" s="94"/>
      <c r="F78" s="95"/>
      <c r="G78" s="95"/>
      <c r="H78" s="95"/>
      <c r="K78" s="94"/>
      <c r="L78" s="94"/>
    </row>
  </sheetData>
  <mergeCells count="9">
    <mergeCell ref="A1:C1"/>
    <mergeCell ref="D1:E1"/>
    <mergeCell ref="A60:E60"/>
    <mergeCell ref="A3:E3"/>
    <mergeCell ref="A13:E13"/>
    <mergeCell ref="A23:E23"/>
    <mergeCell ref="A33:E33"/>
    <mergeCell ref="A43:E43"/>
    <mergeCell ref="A2:C2"/>
  </mergeCells>
  <dataValidations count="1">
    <dataValidation type="list" allowBlank="1" showInputMessage="1" showErrorMessage="1" sqref="C45:C57" xr:uid="{E494F689-9BA8-4302-A2C0-58899D4BD845}">
      <formula1>"Day, Week, Month"</formula1>
    </dataValidation>
  </dataValidations>
  <pageMargins left="0.25" right="0.25" top="0.75" bottom="0.75" header="0.3" footer="0.3"/>
  <pageSetup scale="32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99179E-7B82-44D5-8422-F98A065D365E}">
          <x14:formula1>
            <xm:f>'Drop Down Data'!$E$8:$E$10</xm:f>
          </x14:formula1>
          <xm:sqref>C62:C71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FDEF-1FD9-450A-993C-66018F6E6EB3}">
  <dimension ref="A1:Q27"/>
  <sheetViews>
    <sheetView zoomScale="90" zoomScaleNormal="90" workbookViewId="0">
      <selection activeCell="G16" sqref="G16"/>
    </sheetView>
  </sheetViews>
  <sheetFormatPr defaultColWidth="9.21875" defaultRowHeight="14.4" x14ac:dyDescent="0.3"/>
  <cols>
    <col min="1" max="1" width="27.77734375" style="32" bestFit="1" customWidth="1"/>
    <col min="2" max="2" width="9.5546875" style="32" bestFit="1" customWidth="1"/>
    <col min="3" max="3" width="10" style="32" bestFit="1" customWidth="1"/>
    <col min="4" max="4" width="12.5546875" style="32" customWidth="1"/>
    <col min="5" max="5" width="10.44140625" style="32" customWidth="1"/>
    <col min="6" max="6" width="15.6640625" style="32" customWidth="1"/>
    <col min="7" max="7" width="17.21875" style="32" customWidth="1"/>
    <col min="8" max="8" width="6.21875" style="32" customWidth="1"/>
    <col min="9" max="11" width="12.44140625" style="32" customWidth="1"/>
    <col min="12" max="12" width="8.77734375" style="32" customWidth="1"/>
    <col min="13" max="13" width="11.77734375" style="32" customWidth="1"/>
    <col min="14" max="14" width="15" style="32" customWidth="1"/>
    <col min="15" max="15" width="17.44140625" style="32" customWidth="1"/>
    <col min="16" max="16384" width="9.21875" style="32"/>
  </cols>
  <sheetData>
    <row r="1" spans="1:17" ht="21" customHeight="1" thickBot="1" x14ac:dyDescent="0.35">
      <c r="A1" s="429" t="s">
        <v>122</v>
      </c>
      <c r="B1" s="429"/>
      <c r="C1" s="429"/>
      <c r="D1" s="429"/>
      <c r="E1" s="429"/>
      <c r="F1" s="429"/>
      <c r="G1" s="429"/>
      <c r="H1" s="31"/>
      <c r="I1" s="437" t="s">
        <v>123</v>
      </c>
      <c r="J1" s="437"/>
      <c r="K1" s="437"/>
      <c r="L1" s="437"/>
      <c r="M1" s="437"/>
      <c r="N1" s="437"/>
      <c r="O1" s="437"/>
    </row>
    <row r="2" spans="1:17" ht="30" customHeight="1" thickBot="1" x14ac:dyDescent="0.35">
      <c r="A2" s="329" t="s">
        <v>133</v>
      </c>
      <c r="B2" s="330" t="s">
        <v>29</v>
      </c>
      <c r="C2" s="330" t="s">
        <v>135</v>
      </c>
      <c r="D2" s="330" t="s">
        <v>136</v>
      </c>
      <c r="E2" s="330" t="s">
        <v>139</v>
      </c>
      <c r="F2" s="330" t="s">
        <v>24</v>
      </c>
      <c r="G2" s="331" t="s">
        <v>142</v>
      </c>
      <c r="H2" s="31"/>
      <c r="I2" s="331" t="s">
        <v>148</v>
      </c>
      <c r="J2" s="331" t="s">
        <v>147</v>
      </c>
      <c r="K2" s="331" t="s">
        <v>125</v>
      </c>
      <c r="L2" s="331" t="s">
        <v>126</v>
      </c>
      <c r="M2" s="331" t="s">
        <v>103</v>
      </c>
      <c r="N2" s="331" t="s">
        <v>127</v>
      </c>
      <c r="O2" s="331" t="s">
        <v>128</v>
      </c>
      <c r="Q2" s="138"/>
    </row>
    <row r="3" spans="1:17" ht="15" thickBot="1" x14ac:dyDescent="0.35">
      <c r="A3" s="33" t="s">
        <v>132</v>
      </c>
      <c r="B3" s="58">
        <v>85</v>
      </c>
      <c r="C3" s="59">
        <v>0</v>
      </c>
      <c r="D3" s="34">
        <f>(B3*C3)+B3</f>
        <v>85</v>
      </c>
      <c r="E3" s="31"/>
      <c r="F3" s="35">
        <f ca="1">(VLOOKUP(A3,'LOE Sheet'!E$107:I$113,5,FALSE)+VLOOKUP(A3,'Additional SOW''s'!E$32:I$38,5,FALSE))*B$18+(VLOOKUP(A3,'LOE Sheet'!E$107:I$113,5,FALSE)+VLOOKUP(A3,'Additional SOW''s'!E$32:I$38,5,FALSE))</f>
        <v>0</v>
      </c>
      <c r="G3" s="36">
        <f t="shared" ref="G3:G8" ca="1" si="0">F3*D3</f>
        <v>0</v>
      </c>
      <c r="H3" s="31"/>
      <c r="I3" s="37">
        <v>20</v>
      </c>
      <c r="J3" s="38">
        <f t="shared" ref="J3:J22" ca="1" si="1">B$23/I3</f>
        <v>0</v>
      </c>
      <c r="K3" s="39">
        <f t="shared" ref="K3:K22" ca="1" si="2">B$25/I3</f>
        <v>0</v>
      </c>
      <c r="L3" s="37">
        <v>2</v>
      </c>
      <c r="M3" s="38">
        <f t="shared" ref="M3:M22" ca="1" si="3">B$24*L3*K3</f>
        <v>0</v>
      </c>
      <c r="N3" s="38">
        <f t="shared" ref="N3:N22" ca="1" si="4">B$20+M3</f>
        <v>0</v>
      </c>
      <c r="O3" s="40">
        <f t="shared" ref="O3:O22" ca="1" si="5">N3*B$21</f>
        <v>0</v>
      </c>
    </row>
    <row r="4" spans="1:17" ht="15" thickBot="1" x14ac:dyDescent="0.35">
      <c r="A4" s="33" t="s">
        <v>28</v>
      </c>
      <c r="B4" s="58">
        <v>95</v>
      </c>
      <c r="C4" s="59">
        <v>0</v>
      </c>
      <c r="D4" s="34">
        <f>(B4*C4)+B4</f>
        <v>95</v>
      </c>
      <c r="E4" s="31"/>
      <c r="F4" s="35">
        <f ca="1">(VLOOKUP(A4,'LOE Sheet'!E$107:I$113,5,FALSE)+VLOOKUP(A4,'Additional SOW''s'!E$32:I$38,5,FALSE))*B$18+(VLOOKUP(A4,'LOE Sheet'!E$107:I$113,5,FALSE)+VLOOKUP(A4,'Additional SOW''s'!E$32:I$38,5,FALSE))</f>
        <v>0</v>
      </c>
      <c r="G4" s="36">
        <f t="shared" ca="1" si="0"/>
        <v>0</v>
      </c>
      <c r="H4" s="31"/>
      <c r="I4" s="37">
        <v>19</v>
      </c>
      <c r="J4" s="38">
        <f t="shared" ca="1" si="1"/>
        <v>0</v>
      </c>
      <c r="K4" s="39">
        <f t="shared" ca="1" si="2"/>
        <v>0</v>
      </c>
      <c r="L4" s="37">
        <v>2</v>
      </c>
      <c r="M4" s="38">
        <f t="shared" ca="1" si="3"/>
        <v>0</v>
      </c>
      <c r="N4" s="38">
        <f t="shared" ca="1" si="4"/>
        <v>0</v>
      </c>
      <c r="O4" s="40">
        <f t="shared" ca="1" si="5"/>
        <v>0</v>
      </c>
      <c r="Q4" s="138"/>
    </row>
    <row r="5" spans="1:17" ht="15" thickBot="1" x14ac:dyDescent="0.35">
      <c r="A5" s="33" t="s">
        <v>306</v>
      </c>
      <c r="B5" s="58">
        <v>75</v>
      </c>
      <c r="C5" s="59">
        <v>0</v>
      </c>
      <c r="D5" s="34">
        <v>100</v>
      </c>
      <c r="E5" s="31"/>
      <c r="F5" s="35">
        <f ca="1">(VLOOKUP(A5,'LOE Sheet'!E$107:I$113,5,FALSE)+VLOOKUP(A5,'Additional SOW''s'!E$32:I$38,5,FALSE))*B$18+(VLOOKUP(A5,'LOE Sheet'!E$107:I$113,5,FALSE)+VLOOKUP(A5,'Additional SOW''s'!E$32:I$38,5,FALSE))</f>
        <v>0</v>
      </c>
      <c r="G5" s="36">
        <f t="shared" ca="1" si="0"/>
        <v>0</v>
      </c>
      <c r="H5" s="31"/>
      <c r="I5" s="37">
        <v>18</v>
      </c>
      <c r="J5" s="38">
        <f t="shared" ca="1" si="1"/>
        <v>0</v>
      </c>
      <c r="K5" s="39">
        <f t="shared" ca="1" si="2"/>
        <v>0</v>
      </c>
      <c r="L5" s="37">
        <v>2</v>
      </c>
      <c r="M5" s="38">
        <f t="shared" ca="1" si="3"/>
        <v>0</v>
      </c>
      <c r="N5" s="38">
        <f t="shared" ca="1" si="4"/>
        <v>0</v>
      </c>
      <c r="O5" s="40">
        <f t="shared" ca="1" si="5"/>
        <v>0</v>
      </c>
    </row>
    <row r="6" spans="1:17" ht="15" thickBot="1" x14ac:dyDescent="0.35">
      <c r="A6" s="33" t="s">
        <v>307</v>
      </c>
      <c r="B6" s="58">
        <v>75</v>
      </c>
      <c r="C6" s="59">
        <v>0</v>
      </c>
      <c r="D6" s="34">
        <f>(B6*C6)+B6</f>
        <v>75</v>
      </c>
      <c r="E6" s="31"/>
      <c r="F6" s="35">
        <f ca="1">(VLOOKUP(A6,'LOE Sheet'!E$107:I$113,5,FALSE)+VLOOKUP(A6,'Additional SOW''s'!E$32:I$38,5,FALSE))*B$18+(VLOOKUP(A6,'LOE Sheet'!E$107:I$113,5,FALSE)+VLOOKUP(A6,'Additional SOW''s'!E$32:I$38,5,FALSE))</f>
        <v>0</v>
      </c>
      <c r="G6" s="36">
        <f t="shared" ca="1" si="0"/>
        <v>0</v>
      </c>
      <c r="H6" s="31"/>
      <c r="I6" s="37">
        <v>17</v>
      </c>
      <c r="J6" s="38">
        <f t="shared" ca="1" si="1"/>
        <v>0</v>
      </c>
      <c r="K6" s="39">
        <f t="shared" ca="1" si="2"/>
        <v>0</v>
      </c>
      <c r="L6" s="37">
        <v>2</v>
      </c>
      <c r="M6" s="38">
        <f t="shared" ca="1" si="3"/>
        <v>0</v>
      </c>
      <c r="N6" s="38">
        <f t="shared" ca="1" si="4"/>
        <v>0</v>
      </c>
      <c r="O6" s="40">
        <f t="shared" ca="1" si="5"/>
        <v>0</v>
      </c>
    </row>
    <row r="7" spans="1:17" ht="15" thickBot="1" x14ac:dyDescent="0.35">
      <c r="A7" s="33" t="s">
        <v>138</v>
      </c>
      <c r="B7" s="58">
        <v>55</v>
      </c>
      <c r="C7" s="60">
        <v>0</v>
      </c>
      <c r="D7" s="41">
        <f>(B7*C7)+B7</f>
        <v>55</v>
      </c>
      <c r="E7" s="31"/>
      <c r="F7" s="35">
        <f ca="1">(VLOOKUP(A7,'LOE Sheet'!E$107:I$113,5,FALSE)+VLOOKUP(A7,'Additional SOW''s'!E$32:I$38,5,FALSE))*B$18+(VLOOKUP(A7,'LOE Sheet'!E$107:I$113,5,FALSE)+VLOOKUP(A7,'Additional SOW''s'!E$32:I$38,5,FALSE))</f>
        <v>0</v>
      </c>
      <c r="G7" s="36">
        <f t="shared" ca="1" si="0"/>
        <v>0</v>
      </c>
      <c r="H7" s="31"/>
      <c r="I7" s="37">
        <v>16</v>
      </c>
      <c r="J7" s="38">
        <f t="shared" ca="1" si="1"/>
        <v>0</v>
      </c>
      <c r="K7" s="39">
        <f t="shared" ca="1" si="2"/>
        <v>0</v>
      </c>
      <c r="L7" s="37">
        <v>2</v>
      </c>
      <c r="M7" s="38">
        <f t="shared" ca="1" si="3"/>
        <v>0</v>
      </c>
      <c r="N7" s="38">
        <f t="shared" ca="1" si="4"/>
        <v>0</v>
      </c>
      <c r="O7" s="40">
        <f t="shared" ca="1" si="5"/>
        <v>0</v>
      </c>
    </row>
    <row r="8" spans="1:17" ht="15" thickBot="1" x14ac:dyDescent="0.35">
      <c r="A8" s="42" t="s">
        <v>22</v>
      </c>
      <c r="B8" s="58">
        <v>100</v>
      </c>
      <c r="C8" s="59">
        <v>0</v>
      </c>
      <c r="D8" s="34">
        <f>(B8*C8)+B8</f>
        <v>100</v>
      </c>
      <c r="E8" s="31"/>
      <c r="F8" s="35">
        <f ca="1">(VLOOKUP(A8,'LOE Sheet'!E$107:I$113,5,FALSE)+VLOOKUP(A8,'Additional SOW''s'!E$32:I$38,5,FALSE))*B$18+(VLOOKUP(A8,'LOE Sheet'!E$107:I$113,5,FALSE)+VLOOKUP(A8,'Additional SOW''s'!E$32:I$38,5,FALSE))</f>
        <v>0</v>
      </c>
      <c r="G8" s="36">
        <f t="shared" ca="1" si="0"/>
        <v>0</v>
      </c>
      <c r="H8" s="31"/>
      <c r="I8" s="37">
        <v>15</v>
      </c>
      <c r="J8" s="38">
        <f t="shared" ca="1" si="1"/>
        <v>0</v>
      </c>
      <c r="K8" s="39">
        <f t="shared" ca="1" si="2"/>
        <v>0</v>
      </c>
      <c r="L8" s="37">
        <v>2</v>
      </c>
      <c r="M8" s="38">
        <f t="shared" ca="1" si="3"/>
        <v>0</v>
      </c>
      <c r="N8" s="38">
        <f t="shared" ca="1" si="4"/>
        <v>0</v>
      </c>
      <c r="O8" s="40">
        <f t="shared" ca="1" si="5"/>
        <v>0</v>
      </c>
    </row>
    <row r="9" spans="1:17" ht="15" thickBot="1" x14ac:dyDescent="0.35">
      <c r="A9" s="31"/>
      <c r="B9" s="31"/>
      <c r="C9" s="31"/>
      <c r="D9" s="276" t="e">
        <f ca="1">G9/F9</f>
        <v>#DIV/0!</v>
      </c>
      <c r="E9" s="31"/>
      <c r="F9" s="139">
        <f ca="1">SUM(F3:F8)</f>
        <v>0</v>
      </c>
      <c r="G9" s="140">
        <f ca="1">SUM(G3:G8)</f>
        <v>0</v>
      </c>
      <c r="H9" s="31"/>
      <c r="I9" s="37">
        <v>14</v>
      </c>
      <c r="J9" s="38">
        <f t="shared" ca="1" si="1"/>
        <v>0</v>
      </c>
      <c r="K9" s="39">
        <f t="shared" ca="1" si="2"/>
        <v>0</v>
      </c>
      <c r="L9" s="37">
        <v>2</v>
      </c>
      <c r="M9" s="38">
        <f t="shared" ca="1" si="3"/>
        <v>0</v>
      </c>
      <c r="N9" s="38">
        <f t="shared" ca="1" si="4"/>
        <v>0</v>
      </c>
      <c r="O9" s="40">
        <f t="shared" ca="1" si="5"/>
        <v>0</v>
      </c>
    </row>
    <row r="10" spans="1:17" ht="29.4" thickBot="1" x14ac:dyDescent="0.35">
      <c r="A10" s="332" t="s">
        <v>169</v>
      </c>
      <c r="B10" s="48"/>
      <c r="C10" s="48"/>
      <c r="D10" s="48"/>
      <c r="E10" s="330" t="s">
        <v>227</v>
      </c>
      <c r="F10" s="48"/>
      <c r="G10" s="48"/>
      <c r="H10" s="31"/>
      <c r="I10" s="37">
        <v>13</v>
      </c>
      <c r="J10" s="38">
        <f t="shared" ca="1" si="1"/>
        <v>0</v>
      </c>
      <c r="K10" s="39">
        <f t="shared" ca="1" si="2"/>
        <v>0</v>
      </c>
      <c r="L10" s="37">
        <v>2</v>
      </c>
      <c r="M10" s="38">
        <f t="shared" ca="1" si="3"/>
        <v>0</v>
      </c>
      <c r="N10" s="38">
        <f t="shared" ca="1" si="4"/>
        <v>0</v>
      </c>
      <c r="O10" s="40">
        <f t="shared" ca="1" si="5"/>
        <v>0</v>
      </c>
    </row>
    <row r="11" spans="1:17" ht="15" thickBot="1" x14ac:dyDescent="0.35">
      <c r="A11" s="33" t="s">
        <v>28</v>
      </c>
      <c r="B11" s="58">
        <v>95</v>
      </c>
      <c r="C11" s="59">
        <v>0</v>
      </c>
      <c r="D11" s="34">
        <v>95</v>
      </c>
      <c r="E11" s="285">
        <v>0.5</v>
      </c>
      <c r="F11" s="35">
        <f ca="1">IF(B26,VLOOKUP(B26,I3:M22,5,FALSE)*E11,0)</f>
        <v>0</v>
      </c>
      <c r="G11" s="36">
        <f ca="1">F11*D11</f>
        <v>0</v>
      </c>
      <c r="H11" s="31"/>
      <c r="I11" s="37">
        <v>12</v>
      </c>
      <c r="J11" s="38">
        <f t="shared" ca="1" si="1"/>
        <v>0</v>
      </c>
      <c r="K11" s="39">
        <f t="shared" ca="1" si="2"/>
        <v>0</v>
      </c>
      <c r="L11" s="37">
        <v>2</v>
      </c>
      <c r="M11" s="38">
        <f t="shared" ca="1" si="3"/>
        <v>0</v>
      </c>
      <c r="N11" s="38">
        <f t="shared" ca="1" si="4"/>
        <v>0</v>
      </c>
      <c r="O11" s="40">
        <f t="shared" ca="1" si="5"/>
        <v>0</v>
      </c>
    </row>
    <row r="12" spans="1:17" ht="15" thickBot="1" x14ac:dyDescent="0.35">
      <c r="A12" s="42" t="s">
        <v>22</v>
      </c>
      <c r="B12" s="62">
        <v>100</v>
      </c>
      <c r="C12" s="61">
        <v>0</v>
      </c>
      <c r="D12" s="43">
        <f>(B12*C12)+B12</f>
        <v>100</v>
      </c>
      <c r="E12" s="286">
        <v>0.25</v>
      </c>
      <c r="F12" s="44">
        <f ca="1">IF(B26,VLOOKUP(B26,I3:M22,5,FALSE)*E12,0)</f>
        <v>0</v>
      </c>
      <c r="G12" s="45">
        <f ca="1">F12*D12</f>
        <v>0</v>
      </c>
      <c r="H12" s="31"/>
      <c r="I12" s="37">
        <v>11</v>
      </c>
      <c r="J12" s="38">
        <f t="shared" ca="1" si="1"/>
        <v>0</v>
      </c>
      <c r="K12" s="39">
        <f t="shared" ca="1" si="2"/>
        <v>0</v>
      </c>
      <c r="L12" s="37">
        <v>2</v>
      </c>
      <c r="M12" s="38">
        <f t="shared" ca="1" si="3"/>
        <v>0</v>
      </c>
      <c r="N12" s="38">
        <f t="shared" ca="1" si="4"/>
        <v>0</v>
      </c>
      <c r="O12" s="40">
        <f t="shared" ca="1" si="5"/>
        <v>0</v>
      </c>
    </row>
    <row r="13" spans="1:17" ht="15" thickBot="1" x14ac:dyDescent="0.35">
      <c r="A13" s="33" t="s">
        <v>138</v>
      </c>
      <c r="B13" s="58">
        <v>55</v>
      </c>
      <c r="C13" s="59">
        <v>0</v>
      </c>
      <c r="D13" s="34">
        <f>(B13*C13)+B13</f>
        <v>55</v>
      </c>
      <c r="E13" s="285">
        <v>0.15</v>
      </c>
      <c r="F13" s="44">
        <f ca="1">IF(B26,VLOOKUP(B26,I3:M22,5,FALSE)*E13,0)</f>
        <v>0</v>
      </c>
      <c r="G13" s="46">
        <f ca="1">F13*D13</f>
        <v>0</v>
      </c>
      <c r="H13" s="31"/>
      <c r="I13" s="37">
        <v>10</v>
      </c>
      <c r="J13" s="38">
        <f t="shared" ca="1" si="1"/>
        <v>0</v>
      </c>
      <c r="K13" s="39">
        <f t="shared" ca="1" si="2"/>
        <v>0</v>
      </c>
      <c r="L13" s="37">
        <v>1</v>
      </c>
      <c r="M13" s="38">
        <f t="shared" ca="1" si="3"/>
        <v>0</v>
      </c>
      <c r="N13" s="38">
        <f t="shared" ca="1" si="4"/>
        <v>0</v>
      </c>
      <c r="O13" s="40">
        <f t="shared" ca="1" si="5"/>
        <v>0</v>
      </c>
    </row>
    <row r="14" spans="1:17" ht="15" thickBot="1" x14ac:dyDescent="0.35">
      <c r="A14" s="47"/>
      <c r="B14" s="48"/>
      <c r="C14" s="48"/>
      <c r="D14" s="48"/>
      <c r="E14" s="48"/>
      <c r="F14" s="139">
        <f ca="1">SUM(F11:F13)</f>
        <v>0</v>
      </c>
      <c r="G14" s="140">
        <f ca="1">SUM(G11:G13)</f>
        <v>0</v>
      </c>
      <c r="H14" s="31"/>
      <c r="I14" s="37">
        <v>9</v>
      </c>
      <c r="J14" s="38">
        <f t="shared" ca="1" si="1"/>
        <v>0</v>
      </c>
      <c r="K14" s="39">
        <f t="shared" ca="1" si="2"/>
        <v>0</v>
      </c>
      <c r="L14" s="37">
        <v>1</v>
      </c>
      <c r="M14" s="38">
        <f t="shared" ca="1" si="3"/>
        <v>0</v>
      </c>
      <c r="N14" s="38">
        <f t="shared" ca="1" si="4"/>
        <v>0</v>
      </c>
      <c r="O14" s="40">
        <f t="shared" ca="1" si="5"/>
        <v>0</v>
      </c>
    </row>
    <row r="15" spans="1:17" ht="15" thickBot="1" x14ac:dyDescent="0.35">
      <c r="A15" s="47"/>
      <c r="B15" s="47"/>
      <c r="C15" s="47"/>
      <c r="D15" s="47"/>
      <c r="E15" s="47"/>
      <c r="F15" s="47"/>
      <c r="G15" s="47"/>
      <c r="H15" s="31"/>
      <c r="I15" s="37">
        <v>8</v>
      </c>
      <c r="J15" s="38">
        <f t="shared" ca="1" si="1"/>
        <v>0</v>
      </c>
      <c r="K15" s="39">
        <f t="shared" ca="1" si="2"/>
        <v>0</v>
      </c>
      <c r="L15" s="37">
        <v>1</v>
      </c>
      <c r="M15" s="38">
        <f t="shared" ca="1" si="3"/>
        <v>0</v>
      </c>
      <c r="N15" s="38">
        <f t="shared" ca="1" si="4"/>
        <v>0</v>
      </c>
      <c r="O15" s="40">
        <f t="shared" ca="1" si="5"/>
        <v>0</v>
      </c>
    </row>
    <row r="16" spans="1:17" ht="15" thickBot="1" x14ac:dyDescent="0.35">
      <c r="A16" s="49"/>
      <c r="B16" s="50"/>
      <c r="C16" s="50"/>
      <c r="D16" s="50"/>
      <c r="E16" s="50"/>
      <c r="F16" s="139">
        <f ca="1">F14+F9</f>
        <v>0</v>
      </c>
      <c r="G16" s="140">
        <f ca="1">G14+G9</f>
        <v>0</v>
      </c>
      <c r="H16" s="31"/>
      <c r="I16" s="37">
        <v>7</v>
      </c>
      <c r="J16" s="38">
        <f t="shared" ca="1" si="1"/>
        <v>0</v>
      </c>
      <c r="K16" s="39">
        <f t="shared" ca="1" si="2"/>
        <v>0</v>
      </c>
      <c r="L16" s="37">
        <v>1</v>
      </c>
      <c r="M16" s="38">
        <f t="shared" ca="1" si="3"/>
        <v>0</v>
      </c>
      <c r="N16" s="38">
        <f t="shared" ca="1" si="4"/>
        <v>0</v>
      </c>
      <c r="O16" s="40">
        <f t="shared" ca="1" si="5"/>
        <v>0</v>
      </c>
    </row>
    <row r="17" spans="1:15" ht="15" thickBot="1" x14ac:dyDescent="0.35">
      <c r="A17" s="51" t="s">
        <v>124</v>
      </c>
      <c r="B17" s="52">
        <f ca="1">'LOE Sheet'!I2+'Additional SOW''s'!I1</f>
        <v>0</v>
      </c>
      <c r="E17" s="53"/>
      <c r="G17" s="53"/>
      <c r="H17" s="31"/>
      <c r="I17" s="37">
        <v>6</v>
      </c>
      <c r="J17" s="38">
        <f t="shared" ca="1" si="1"/>
        <v>0</v>
      </c>
      <c r="K17" s="39">
        <f t="shared" ca="1" si="2"/>
        <v>0</v>
      </c>
      <c r="L17" s="37">
        <v>1</v>
      </c>
      <c r="M17" s="38">
        <f t="shared" ca="1" si="3"/>
        <v>0</v>
      </c>
      <c r="N17" s="38">
        <f t="shared" ca="1" si="4"/>
        <v>0</v>
      </c>
      <c r="O17" s="40">
        <f t="shared" ca="1" si="5"/>
        <v>0</v>
      </c>
    </row>
    <row r="18" spans="1:15" ht="15" thickBot="1" x14ac:dyDescent="0.35">
      <c r="A18" s="33" t="s">
        <v>129</v>
      </c>
      <c r="B18" s="83">
        <v>0.05</v>
      </c>
      <c r="C18" s="136" t="s">
        <v>24</v>
      </c>
      <c r="D18" s="137">
        <f ca="1">F9-B17</f>
        <v>0</v>
      </c>
      <c r="E18" s="53"/>
      <c r="F18" s="53"/>
      <c r="G18" s="53"/>
      <c r="H18" s="31"/>
      <c r="I18" s="37">
        <v>5</v>
      </c>
      <c r="J18" s="38">
        <f t="shared" ca="1" si="1"/>
        <v>0</v>
      </c>
      <c r="K18" s="39">
        <f t="shared" ca="1" si="2"/>
        <v>0</v>
      </c>
      <c r="L18" s="37">
        <v>1</v>
      </c>
      <c r="M18" s="38">
        <f t="shared" ca="1" si="3"/>
        <v>0</v>
      </c>
      <c r="N18" s="38">
        <f t="shared" ca="1" si="4"/>
        <v>0</v>
      </c>
      <c r="O18" s="40">
        <f t="shared" ca="1" si="5"/>
        <v>0</v>
      </c>
    </row>
    <row r="19" spans="1:15" ht="15" thickBot="1" x14ac:dyDescent="0.35">
      <c r="A19" s="33" t="s">
        <v>141</v>
      </c>
      <c r="B19" s="54">
        <f ca="1">B17*B18</f>
        <v>0</v>
      </c>
      <c r="C19" s="53"/>
      <c r="D19" s="53"/>
      <c r="E19" s="53"/>
      <c r="F19" s="53"/>
      <c r="G19" s="53"/>
      <c r="H19" s="31"/>
      <c r="I19" s="37">
        <v>4</v>
      </c>
      <c r="J19" s="38">
        <f t="shared" ca="1" si="1"/>
        <v>0</v>
      </c>
      <c r="K19" s="39">
        <f t="shared" ca="1" si="2"/>
        <v>0</v>
      </c>
      <c r="L19" s="37">
        <v>1</v>
      </c>
      <c r="M19" s="38">
        <f t="shared" ca="1" si="3"/>
        <v>0</v>
      </c>
      <c r="N19" s="38">
        <f t="shared" ca="1" si="4"/>
        <v>0</v>
      </c>
      <c r="O19" s="40">
        <f t="shared" ca="1" si="5"/>
        <v>0</v>
      </c>
    </row>
    <row r="20" spans="1:15" ht="15" thickBot="1" x14ac:dyDescent="0.35">
      <c r="A20" s="33" t="s">
        <v>130</v>
      </c>
      <c r="B20" s="54">
        <f ca="1">B17+B19</f>
        <v>0</v>
      </c>
      <c r="C20" s="53"/>
      <c r="D20" s="53"/>
      <c r="E20" s="53"/>
      <c r="F20" s="53"/>
      <c r="G20" s="53"/>
      <c r="H20" s="31"/>
      <c r="I20" s="37">
        <v>3</v>
      </c>
      <c r="J20" s="38">
        <f t="shared" ca="1" si="1"/>
        <v>0</v>
      </c>
      <c r="K20" s="39">
        <f t="shared" ca="1" si="2"/>
        <v>0</v>
      </c>
      <c r="L20" s="37">
        <v>1</v>
      </c>
      <c r="M20" s="38">
        <f t="shared" ca="1" si="3"/>
        <v>0</v>
      </c>
      <c r="N20" s="38">
        <f t="shared" ca="1" si="4"/>
        <v>0</v>
      </c>
      <c r="O20" s="40">
        <f t="shared" ca="1" si="5"/>
        <v>0</v>
      </c>
    </row>
    <row r="21" spans="1:15" ht="15" thickBot="1" x14ac:dyDescent="0.35">
      <c r="A21" s="33" t="s">
        <v>140</v>
      </c>
      <c r="B21" s="55">
        <f ca="1">IF(F9,G9/F9,0)</f>
        <v>0</v>
      </c>
      <c r="C21" s="53"/>
      <c r="D21" s="53"/>
      <c r="E21" s="53"/>
      <c r="F21" s="53"/>
      <c r="G21" s="53"/>
      <c r="H21" s="31"/>
      <c r="I21" s="37">
        <v>2</v>
      </c>
      <c r="J21" s="38">
        <f t="shared" ca="1" si="1"/>
        <v>0</v>
      </c>
      <c r="K21" s="39">
        <f t="shared" ca="1" si="2"/>
        <v>0</v>
      </c>
      <c r="L21" s="37">
        <v>1</v>
      </c>
      <c r="M21" s="38">
        <f t="shared" ca="1" si="3"/>
        <v>0</v>
      </c>
      <c r="N21" s="38">
        <f t="shared" ca="1" si="4"/>
        <v>0</v>
      </c>
      <c r="O21" s="40">
        <f t="shared" ca="1" si="5"/>
        <v>0</v>
      </c>
    </row>
    <row r="22" spans="1:15" ht="15" thickBot="1" x14ac:dyDescent="0.35">
      <c r="A22" s="33" t="s">
        <v>143</v>
      </c>
      <c r="B22" s="14">
        <v>8</v>
      </c>
      <c r="C22" s="53"/>
      <c r="D22" s="53"/>
      <c r="E22" s="53"/>
      <c r="F22" s="53"/>
      <c r="G22" s="53"/>
      <c r="H22" s="31"/>
      <c r="I22" s="37">
        <v>1</v>
      </c>
      <c r="J22" s="38">
        <f t="shared" ca="1" si="1"/>
        <v>0</v>
      </c>
      <c r="K22" s="39">
        <f t="shared" ca="1" si="2"/>
        <v>0</v>
      </c>
      <c r="L22" s="37">
        <v>1</v>
      </c>
      <c r="M22" s="38">
        <f t="shared" ca="1" si="3"/>
        <v>0</v>
      </c>
      <c r="N22" s="38">
        <f t="shared" ca="1" si="4"/>
        <v>0</v>
      </c>
      <c r="O22" s="40">
        <f t="shared" ca="1" si="5"/>
        <v>0</v>
      </c>
    </row>
    <row r="23" spans="1:15" ht="15" thickBot="1" x14ac:dyDescent="0.35">
      <c r="A23" s="33" t="s">
        <v>144</v>
      </c>
      <c r="B23" s="54">
        <f ca="1">B20/B22</f>
        <v>0</v>
      </c>
      <c r="C23" s="136" t="s">
        <v>240</v>
      </c>
      <c r="D23" s="137">
        <f ca="1">B23/B26</f>
        <v>0</v>
      </c>
      <c r="E23" s="53"/>
      <c r="F23" s="53"/>
      <c r="G23" s="53"/>
      <c r="H23" s="31"/>
      <c r="I23" s="438" t="s">
        <v>225</v>
      </c>
      <c r="J23" s="438"/>
      <c r="K23" s="438"/>
      <c r="L23" s="438"/>
      <c r="M23" s="438"/>
      <c r="N23" s="438"/>
      <c r="O23" s="438"/>
    </row>
    <row r="24" spans="1:15" ht="15" thickBot="1" x14ac:dyDescent="0.35">
      <c r="A24" s="33" t="s">
        <v>145</v>
      </c>
      <c r="B24" s="14">
        <v>40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</row>
    <row r="25" spans="1:15" ht="15" thickBot="1" x14ac:dyDescent="0.35">
      <c r="A25" s="56" t="s">
        <v>146</v>
      </c>
      <c r="B25" s="57">
        <f ca="1">B20/B24</f>
        <v>0</v>
      </c>
      <c r="C25" s="136" t="s">
        <v>240</v>
      </c>
      <c r="D25" s="137">
        <f ca="1">B25/B26</f>
        <v>0</v>
      </c>
      <c r="E25" s="53"/>
      <c r="F25" s="53"/>
      <c r="G25" s="53"/>
      <c r="H25" s="53"/>
    </row>
    <row r="26" spans="1:15" x14ac:dyDescent="0.3">
      <c r="A26" s="332" t="s">
        <v>148</v>
      </c>
      <c r="B26" s="15">
        <v>4</v>
      </c>
      <c r="C26" s="53"/>
      <c r="D26" s="53"/>
      <c r="E26" s="53"/>
      <c r="F26" s="53"/>
      <c r="G26" s="53"/>
    </row>
    <row r="27" spans="1:15" x14ac:dyDescent="0.3">
      <c r="C27" s="53"/>
      <c r="D27" s="53"/>
      <c r="E27" s="53"/>
      <c r="F27" s="53"/>
      <c r="G27" s="53"/>
    </row>
  </sheetData>
  <mergeCells count="3">
    <mergeCell ref="A1:G1"/>
    <mergeCell ref="I1:O1"/>
    <mergeCell ref="I23:O23"/>
  </mergeCells>
  <phoneticPr fontId="24" type="noConversion"/>
  <conditionalFormatting sqref="O3:O2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75E9-1C11-4DF4-89EA-029E638972FA}">
  <dimension ref="A1:G78"/>
  <sheetViews>
    <sheetView topLeftCell="A58" workbookViewId="0">
      <selection activeCell="I1" sqref="I1:J1048576"/>
    </sheetView>
  </sheetViews>
  <sheetFormatPr defaultColWidth="9.21875" defaultRowHeight="14.4" x14ac:dyDescent="0.3"/>
  <cols>
    <col min="1" max="1" width="10.77734375" style="278" customWidth="1"/>
    <col min="2" max="2" width="29.5546875" style="278" customWidth="1"/>
    <col min="3" max="3" width="25.77734375" style="278" customWidth="1"/>
    <col min="4" max="6" width="9.21875" style="278"/>
    <col min="7" max="7" width="17" style="278" bestFit="1" customWidth="1"/>
    <col min="8" max="16384" width="9.21875" style="278"/>
  </cols>
  <sheetData>
    <row r="1" spans="1:7" x14ac:dyDescent="0.3">
      <c r="A1" s="278" t="s">
        <v>166</v>
      </c>
      <c r="C1" s="278" t="s">
        <v>243</v>
      </c>
    </row>
    <row r="2" spans="1:7" x14ac:dyDescent="0.3">
      <c r="A2" s="278" t="s">
        <v>244</v>
      </c>
      <c r="C2" s="278" t="s">
        <v>245</v>
      </c>
    </row>
    <row r="3" spans="1:7" x14ac:dyDescent="0.3">
      <c r="A3" s="278" t="s">
        <v>246</v>
      </c>
      <c r="C3" s="278" t="s">
        <v>247</v>
      </c>
    </row>
    <row r="5" spans="1:7" x14ac:dyDescent="0.3">
      <c r="C5" s="278" t="s">
        <v>248</v>
      </c>
    </row>
    <row r="6" spans="1:7" x14ac:dyDescent="0.3">
      <c r="A6" s="278" t="s">
        <v>249</v>
      </c>
      <c r="C6" s="278" t="s">
        <v>250</v>
      </c>
      <c r="E6" s="278" t="s">
        <v>251</v>
      </c>
    </row>
    <row r="7" spans="1:7" x14ac:dyDescent="0.3">
      <c r="A7" s="278" t="s">
        <v>252</v>
      </c>
      <c r="C7" s="278" t="s">
        <v>253</v>
      </c>
      <c r="E7" s="278" t="s">
        <v>254</v>
      </c>
    </row>
    <row r="8" spans="1:7" x14ac:dyDescent="0.3">
      <c r="A8" s="278" t="s">
        <v>254</v>
      </c>
      <c r="C8" s="278" t="s">
        <v>255</v>
      </c>
      <c r="E8" s="350" t="s">
        <v>38</v>
      </c>
    </row>
    <row r="9" spans="1:7" x14ac:dyDescent="0.3">
      <c r="A9" s="278" t="s">
        <v>251</v>
      </c>
      <c r="C9" s="278" t="s">
        <v>120</v>
      </c>
      <c r="E9" s="278" t="s">
        <v>257</v>
      </c>
    </row>
    <row r="10" spans="1:7" x14ac:dyDescent="0.3">
      <c r="A10" s="278" t="s">
        <v>258</v>
      </c>
      <c r="E10" s="278" t="s">
        <v>259</v>
      </c>
    </row>
    <row r="12" spans="1:7" x14ac:dyDescent="0.3">
      <c r="A12" s="278" t="s">
        <v>200</v>
      </c>
      <c r="C12" s="278" t="s">
        <v>260</v>
      </c>
      <c r="E12" s="349" t="s">
        <v>167</v>
      </c>
    </row>
    <row r="13" spans="1:7" x14ac:dyDescent="0.3">
      <c r="C13" s="278" t="s">
        <v>27</v>
      </c>
      <c r="E13" s="349" t="s">
        <v>360</v>
      </c>
    </row>
    <row r="14" spans="1:7" x14ac:dyDescent="0.3">
      <c r="A14" s="278" t="s">
        <v>261</v>
      </c>
      <c r="C14" s="278" t="s">
        <v>262</v>
      </c>
      <c r="E14" s="349" t="s">
        <v>359</v>
      </c>
    </row>
    <row r="15" spans="1:7" x14ac:dyDescent="0.3">
      <c r="C15" s="278" t="s">
        <v>263</v>
      </c>
    </row>
    <row r="16" spans="1:7" x14ac:dyDescent="0.3">
      <c r="A16" s="278" t="s">
        <v>248</v>
      </c>
      <c r="G16" s="284">
        <v>0.5</v>
      </c>
    </row>
    <row r="17" spans="1:7" x14ac:dyDescent="0.3">
      <c r="A17" s="278" t="s">
        <v>250</v>
      </c>
      <c r="C17" s="280" t="s">
        <v>264</v>
      </c>
      <c r="D17" s="280" t="s">
        <v>243</v>
      </c>
      <c r="E17" s="280" t="s">
        <v>245</v>
      </c>
      <c r="F17" s="280" t="s">
        <v>247</v>
      </c>
      <c r="G17" s="280" t="s">
        <v>305</v>
      </c>
    </row>
    <row r="18" spans="1:7" x14ac:dyDescent="0.3">
      <c r="A18" s="278" t="s">
        <v>253</v>
      </c>
      <c r="C18" s="281" t="s">
        <v>265</v>
      </c>
      <c r="D18" s="282">
        <v>52</v>
      </c>
      <c r="E18" s="282">
        <v>71</v>
      </c>
      <c r="F18" s="282">
        <v>89</v>
      </c>
      <c r="G18" s="282">
        <f>(D18*G$16)+D18</f>
        <v>78</v>
      </c>
    </row>
    <row r="19" spans="1:7" x14ac:dyDescent="0.3">
      <c r="A19" s="278" t="s">
        <v>255</v>
      </c>
      <c r="C19" s="281" t="s">
        <v>266</v>
      </c>
      <c r="D19" s="282">
        <v>34</v>
      </c>
      <c r="E19" s="282">
        <v>49</v>
      </c>
      <c r="F19" s="282">
        <v>64</v>
      </c>
      <c r="G19" s="282">
        <f t="shared" ref="G19:G40" si="0">(D19*G$16)+D19</f>
        <v>51</v>
      </c>
    </row>
    <row r="20" spans="1:7" x14ac:dyDescent="0.3">
      <c r="A20" s="278" t="s">
        <v>120</v>
      </c>
      <c r="C20" s="281" t="s">
        <v>267</v>
      </c>
      <c r="D20" s="282">
        <v>30</v>
      </c>
      <c r="E20" s="282">
        <v>43</v>
      </c>
      <c r="F20" s="282">
        <v>57</v>
      </c>
      <c r="G20" s="282">
        <f t="shared" si="0"/>
        <v>45</v>
      </c>
    </row>
    <row r="21" spans="1:7" x14ac:dyDescent="0.3">
      <c r="A21" s="278" t="s">
        <v>242</v>
      </c>
      <c r="C21" s="281" t="s">
        <v>268</v>
      </c>
      <c r="D21" s="282">
        <v>52</v>
      </c>
      <c r="E21" s="282">
        <v>71</v>
      </c>
      <c r="F21" s="282">
        <v>89</v>
      </c>
      <c r="G21" s="282">
        <f t="shared" si="0"/>
        <v>78</v>
      </c>
    </row>
    <row r="22" spans="1:7" x14ac:dyDescent="0.3">
      <c r="A22" s="279"/>
      <c r="C22" s="281" t="s">
        <v>269</v>
      </c>
      <c r="D22" s="282">
        <v>34</v>
      </c>
      <c r="E22" s="282">
        <v>49</v>
      </c>
      <c r="F22" s="282">
        <v>64</v>
      </c>
      <c r="G22" s="282">
        <f t="shared" si="0"/>
        <v>51</v>
      </c>
    </row>
    <row r="23" spans="1:7" x14ac:dyDescent="0.3">
      <c r="A23" s="278" t="s">
        <v>270</v>
      </c>
      <c r="C23" s="281" t="s">
        <v>271</v>
      </c>
      <c r="D23" s="282">
        <v>30</v>
      </c>
      <c r="E23" s="282">
        <v>43</v>
      </c>
      <c r="F23" s="282">
        <v>57</v>
      </c>
      <c r="G23" s="282">
        <f t="shared" si="0"/>
        <v>45</v>
      </c>
    </row>
    <row r="24" spans="1:7" x14ac:dyDescent="0.3">
      <c r="A24" s="278" t="s">
        <v>272</v>
      </c>
      <c r="C24" s="281" t="s">
        <v>273</v>
      </c>
      <c r="D24" s="282">
        <v>32</v>
      </c>
      <c r="E24" s="282">
        <v>71</v>
      </c>
      <c r="F24" s="282">
        <v>89</v>
      </c>
      <c r="G24" s="282">
        <f t="shared" si="0"/>
        <v>48</v>
      </c>
    </row>
    <row r="25" spans="1:7" x14ac:dyDescent="0.3">
      <c r="C25" s="281" t="s">
        <v>274</v>
      </c>
      <c r="D25" s="282">
        <v>34</v>
      </c>
      <c r="E25" s="282">
        <v>49</v>
      </c>
      <c r="F25" s="282">
        <v>64</v>
      </c>
      <c r="G25" s="282">
        <f t="shared" si="0"/>
        <v>51</v>
      </c>
    </row>
    <row r="26" spans="1:7" x14ac:dyDescent="0.3">
      <c r="A26" s="278" t="s">
        <v>256</v>
      </c>
      <c r="C26" s="281" t="s">
        <v>275</v>
      </c>
      <c r="D26" s="282">
        <v>30</v>
      </c>
      <c r="E26" s="282">
        <v>43</v>
      </c>
      <c r="F26" s="282">
        <v>57</v>
      </c>
      <c r="G26" s="282">
        <f t="shared" si="0"/>
        <v>45</v>
      </c>
    </row>
    <row r="27" spans="1:7" x14ac:dyDescent="0.3">
      <c r="A27" s="278" t="s">
        <v>257</v>
      </c>
      <c r="C27" s="281" t="s">
        <v>276</v>
      </c>
      <c r="D27" s="282">
        <v>52</v>
      </c>
      <c r="E27" s="282">
        <v>71</v>
      </c>
      <c r="F27" s="282">
        <v>89</v>
      </c>
      <c r="G27" s="282">
        <f t="shared" si="0"/>
        <v>78</v>
      </c>
    </row>
    <row r="28" spans="1:7" x14ac:dyDescent="0.3">
      <c r="A28" s="278" t="s">
        <v>259</v>
      </c>
      <c r="C28" s="281" t="s">
        <v>277</v>
      </c>
      <c r="D28" s="282">
        <v>34</v>
      </c>
      <c r="E28" s="282">
        <v>49</v>
      </c>
      <c r="F28" s="282">
        <v>64</v>
      </c>
      <c r="G28" s="282">
        <f t="shared" si="0"/>
        <v>51</v>
      </c>
    </row>
    <row r="29" spans="1:7" x14ac:dyDescent="0.3">
      <c r="A29" s="278" t="s">
        <v>278</v>
      </c>
      <c r="C29" s="281" t="s">
        <v>279</v>
      </c>
      <c r="D29" s="282">
        <v>30</v>
      </c>
      <c r="E29" s="282">
        <v>43</v>
      </c>
      <c r="F29" s="282">
        <v>57</v>
      </c>
      <c r="G29" s="282">
        <f t="shared" si="0"/>
        <v>45</v>
      </c>
    </row>
    <row r="30" spans="1:7" x14ac:dyDescent="0.3">
      <c r="C30" s="281" t="s">
        <v>304</v>
      </c>
      <c r="D30" s="282">
        <v>54</v>
      </c>
      <c r="E30" s="282">
        <v>74</v>
      </c>
      <c r="F30" s="282">
        <v>94</v>
      </c>
      <c r="G30" s="282">
        <f t="shared" si="0"/>
        <v>81</v>
      </c>
    </row>
    <row r="31" spans="1:7" x14ac:dyDescent="0.3">
      <c r="A31" s="278" t="s">
        <v>280</v>
      </c>
      <c r="C31" s="281" t="s">
        <v>281</v>
      </c>
      <c r="D31" s="282">
        <v>62</v>
      </c>
      <c r="E31" s="282">
        <v>87</v>
      </c>
      <c r="F31" s="282">
        <v>110</v>
      </c>
      <c r="G31" s="282">
        <f t="shared" si="0"/>
        <v>93</v>
      </c>
    </row>
    <row r="32" spans="1:7" x14ac:dyDescent="0.3">
      <c r="A32" s="278" t="s">
        <v>282</v>
      </c>
      <c r="C32" s="281" t="s">
        <v>283</v>
      </c>
      <c r="D32" s="282">
        <v>27</v>
      </c>
      <c r="E32" s="282">
        <v>40</v>
      </c>
      <c r="F32" s="282">
        <v>52</v>
      </c>
      <c r="G32" s="282">
        <f t="shared" si="0"/>
        <v>40.5</v>
      </c>
    </row>
    <row r="33" spans="1:7" x14ac:dyDescent="0.3">
      <c r="A33" s="278" t="s">
        <v>284</v>
      </c>
      <c r="C33" s="281" t="s">
        <v>546</v>
      </c>
      <c r="D33" s="282">
        <v>59</v>
      </c>
      <c r="E33" s="282">
        <v>71</v>
      </c>
      <c r="F33" s="282">
        <v>89</v>
      </c>
      <c r="G33" s="282">
        <f t="shared" si="0"/>
        <v>88.5</v>
      </c>
    </row>
    <row r="34" spans="1:7" x14ac:dyDescent="0.3">
      <c r="A34" s="278" t="s">
        <v>285</v>
      </c>
      <c r="C34" s="288" t="s">
        <v>547</v>
      </c>
      <c r="D34" s="282">
        <v>25</v>
      </c>
      <c r="E34" s="282">
        <v>35</v>
      </c>
      <c r="F34" s="282">
        <v>46</v>
      </c>
      <c r="G34" s="282">
        <f t="shared" si="0"/>
        <v>37.5</v>
      </c>
    </row>
    <row r="35" spans="1:7" x14ac:dyDescent="0.3">
      <c r="A35" s="278" t="s">
        <v>286</v>
      </c>
      <c r="C35" s="288" t="s">
        <v>548</v>
      </c>
      <c r="D35" s="282">
        <v>25</v>
      </c>
      <c r="E35" s="282">
        <v>35</v>
      </c>
      <c r="F35" s="282">
        <v>46</v>
      </c>
      <c r="G35" s="282">
        <f t="shared" si="0"/>
        <v>37.5</v>
      </c>
    </row>
    <row r="36" spans="1:7" x14ac:dyDescent="0.3">
      <c r="A36" s="278" t="s">
        <v>287</v>
      </c>
      <c r="C36" s="288" t="s">
        <v>549</v>
      </c>
      <c r="D36" s="282">
        <v>33</v>
      </c>
      <c r="E36" s="282">
        <v>47</v>
      </c>
      <c r="F36" s="282">
        <v>62</v>
      </c>
      <c r="G36" s="282">
        <f t="shared" si="0"/>
        <v>49.5</v>
      </c>
    </row>
    <row r="37" spans="1:7" x14ac:dyDescent="0.3">
      <c r="A37" s="278" t="s">
        <v>288</v>
      </c>
      <c r="C37" s="281" t="s">
        <v>550</v>
      </c>
      <c r="D37" s="282">
        <v>49</v>
      </c>
      <c r="E37" s="282">
        <v>67</v>
      </c>
      <c r="F37" s="282">
        <v>84</v>
      </c>
      <c r="G37" s="282">
        <f t="shared" si="0"/>
        <v>73.5</v>
      </c>
    </row>
    <row r="38" spans="1:7" x14ac:dyDescent="0.3">
      <c r="A38" s="278" t="s">
        <v>289</v>
      </c>
      <c r="C38" s="281" t="s">
        <v>551</v>
      </c>
      <c r="D38" s="282">
        <v>24</v>
      </c>
      <c r="E38" s="282">
        <v>34</v>
      </c>
      <c r="F38" s="282">
        <v>44</v>
      </c>
      <c r="G38" s="282">
        <f t="shared" si="0"/>
        <v>36</v>
      </c>
    </row>
    <row r="39" spans="1:7" x14ac:dyDescent="0.3">
      <c r="A39" s="278" t="s">
        <v>290</v>
      </c>
      <c r="C39" s="281" t="s">
        <v>552</v>
      </c>
      <c r="D39" s="282">
        <v>32</v>
      </c>
      <c r="E39" s="282">
        <v>47</v>
      </c>
      <c r="F39" s="282">
        <v>61</v>
      </c>
      <c r="G39" s="282">
        <f t="shared" si="0"/>
        <v>48</v>
      </c>
    </row>
    <row r="40" spans="1:7" x14ac:dyDescent="0.3">
      <c r="A40" s="278" t="s">
        <v>291</v>
      </c>
      <c r="C40" s="281" t="s">
        <v>553</v>
      </c>
      <c r="D40" s="282">
        <v>55</v>
      </c>
      <c r="E40" s="282">
        <v>72</v>
      </c>
      <c r="F40" s="282">
        <v>89</v>
      </c>
      <c r="G40" s="282">
        <f t="shared" si="0"/>
        <v>82.5</v>
      </c>
    </row>
    <row r="41" spans="1:7" x14ac:dyDescent="0.3">
      <c r="A41" s="278" t="s">
        <v>292</v>
      </c>
    </row>
    <row r="42" spans="1:7" x14ac:dyDescent="0.3">
      <c r="A42" s="278" t="s">
        <v>293</v>
      </c>
    </row>
    <row r="43" spans="1:7" x14ac:dyDescent="0.3">
      <c r="A43" s="278" t="s">
        <v>294</v>
      </c>
    </row>
    <row r="44" spans="1:7" x14ac:dyDescent="0.3">
      <c r="A44" s="278" t="s">
        <v>255</v>
      </c>
    </row>
    <row r="45" spans="1:7" x14ac:dyDescent="0.3">
      <c r="A45" s="278" t="s">
        <v>295</v>
      </c>
    </row>
    <row r="46" spans="1:7" x14ac:dyDescent="0.3">
      <c r="A46" s="278" t="s">
        <v>296</v>
      </c>
    </row>
    <row r="47" spans="1:7" x14ac:dyDescent="0.3">
      <c r="A47" s="278" t="s">
        <v>297</v>
      </c>
    </row>
    <row r="48" spans="1:7" x14ac:dyDescent="0.3">
      <c r="A48" s="278" t="s">
        <v>298</v>
      </c>
    </row>
    <row r="49" spans="1:1" x14ac:dyDescent="0.3">
      <c r="A49" s="278" t="s">
        <v>299</v>
      </c>
    </row>
    <row r="50" spans="1:1" x14ac:dyDescent="0.3">
      <c r="A50" s="278" t="s">
        <v>300</v>
      </c>
    </row>
    <row r="51" spans="1:1" x14ac:dyDescent="0.3">
      <c r="A51" s="278" t="s">
        <v>301</v>
      </c>
    </row>
    <row r="53" spans="1:1" x14ac:dyDescent="0.3">
      <c r="A53" s="283">
        <v>1050</v>
      </c>
    </row>
    <row r="54" spans="1:1" x14ac:dyDescent="0.3">
      <c r="A54" s="283">
        <v>1054</v>
      </c>
    </row>
    <row r="55" spans="1:1" x14ac:dyDescent="0.3">
      <c r="A55" s="283">
        <v>1062</v>
      </c>
    </row>
    <row r="56" spans="1:1" x14ac:dyDescent="0.3">
      <c r="A56" s="283">
        <v>1068</v>
      </c>
    </row>
    <row r="57" spans="1:1" x14ac:dyDescent="0.3">
      <c r="A57" s="283">
        <v>1070</v>
      </c>
    </row>
    <row r="58" spans="1:1" x14ac:dyDescent="0.3">
      <c r="A58" s="283">
        <v>3040</v>
      </c>
    </row>
    <row r="59" spans="1:1" x14ac:dyDescent="0.3">
      <c r="A59" s="283">
        <v>3054</v>
      </c>
    </row>
    <row r="60" spans="1:1" x14ac:dyDescent="0.3">
      <c r="A60" s="283">
        <v>3064</v>
      </c>
    </row>
    <row r="61" spans="1:1" x14ac:dyDescent="0.3">
      <c r="A61" s="283">
        <v>4054</v>
      </c>
    </row>
    <row r="62" spans="1:1" x14ac:dyDescent="0.3">
      <c r="A62" s="283">
        <v>6510</v>
      </c>
    </row>
    <row r="63" spans="1:1" x14ac:dyDescent="0.3">
      <c r="A63" s="283">
        <v>7010</v>
      </c>
    </row>
    <row r="64" spans="1:1" x14ac:dyDescent="0.3">
      <c r="A64" s="283">
        <v>7054</v>
      </c>
    </row>
    <row r="65" spans="1:1" x14ac:dyDescent="0.3">
      <c r="A65" s="283">
        <v>7510</v>
      </c>
    </row>
    <row r="66" spans="1:1" x14ac:dyDescent="0.3">
      <c r="A66" s="283">
        <v>7520</v>
      </c>
    </row>
    <row r="67" spans="1:1" x14ac:dyDescent="0.3">
      <c r="A67" s="283">
        <v>7530</v>
      </c>
    </row>
    <row r="68" spans="1:1" x14ac:dyDescent="0.3">
      <c r="A68" s="283">
        <v>7535</v>
      </c>
    </row>
    <row r="69" spans="1:1" x14ac:dyDescent="0.3">
      <c r="A69" s="283">
        <v>7540</v>
      </c>
    </row>
    <row r="72" spans="1:1" x14ac:dyDescent="0.3">
      <c r="A72" s="283"/>
    </row>
    <row r="73" spans="1:1" x14ac:dyDescent="0.3">
      <c r="A73" s="283"/>
    </row>
    <row r="74" spans="1:1" x14ac:dyDescent="0.3">
      <c r="A74" s="283"/>
    </row>
    <row r="75" spans="1:1" x14ac:dyDescent="0.3">
      <c r="A75" s="283"/>
    </row>
    <row r="76" spans="1:1" x14ac:dyDescent="0.3">
      <c r="A76" s="283"/>
    </row>
    <row r="77" spans="1:1" x14ac:dyDescent="0.3">
      <c r="A77" s="283"/>
    </row>
    <row r="78" spans="1:1" x14ac:dyDescent="0.3">
      <c r="A78" s="28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0A77E30F34F6448D3D5DE2EDA7AA32" ma:contentTypeVersion="2" ma:contentTypeDescription="Create a new document." ma:contentTypeScope="" ma:versionID="2e14ee2328239dcd0560349dd7f4b5b5">
  <xsd:schema xmlns:xsd="http://www.w3.org/2001/XMLSchema" xmlns:xs="http://www.w3.org/2001/XMLSchema" xmlns:p="http://schemas.microsoft.com/office/2006/metadata/properties" xmlns:ns2="0e2f557c-8928-48f6-ae3f-bf793828631c" targetNamespace="http://schemas.microsoft.com/office/2006/metadata/properties" ma:root="true" ma:fieldsID="4dc7121e41ff11e423a973d1a6975229" ns2:_="">
    <xsd:import namespace="0e2f557c-8928-48f6-ae3f-bf79382863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2f557c-8928-48f6-ae3f-bf79382863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005D22-2EC5-4AA1-9A7A-BB5844A85E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145A0E7-8BB8-45CB-A4D7-04D7861B7364}">
  <ds:schemaRefs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0e2f557c-8928-48f6-ae3f-bf793828631c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99B37D0-2B74-4B77-92C5-0471996F03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2f557c-8928-48f6-ae3f-bf79382863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Cover Sheet</vt:lpstr>
      <vt:lpstr>Executive Summary</vt:lpstr>
      <vt:lpstr>Bill of Materials</vt:lpstr>
      <vt:lpstr>LOE Sheet</vt:lpstr>
      <vt:lpstr>Additional SOW's</vt:lpstr>
      <vt:lpstr>Pass Throughs</vt:lpstr>
      <vt:lpstr>Labor Projections</vt:lpstr>
      <vt:lpstr>Drop Down Data</vt:lpstr>
      <vt:lpstr>Labor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Yamen Kilani</dc:creator>
  <cp:keywords/>
  <dc:description/>
  <cp:lastModifiedBy>Yamen Zeid Al Kilani</cp:lastModifiedBy>
  <cp:revision/>
  <dcterms:created xsi:type="dcterms:W3CDTF">2006-06-02T15:03:37Z</dcterms:created>
  <dcterms:modified xsi:type="dcterms:W3CDTF">2026-05-22T23:54:14Z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0x010100790A77E30F34F6448D3D5DE2EDA7AA32</vt:lpwstr>
  </property>
</Properties>
</file>